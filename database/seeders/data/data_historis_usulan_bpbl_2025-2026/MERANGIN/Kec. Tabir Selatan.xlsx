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KAR JAYA" sheetId="1" r:id="rId5"/>
    <sheet state="visible" name="BUNGO ANTOI" sheetId="2" r:id="rId6"/>
    <sheet state="visible" name="MUARA DELANG" sheetId="3" r:id="rId7"/>
    <sheet state="visible" name="RAWA JAYA" sheetId="4" r:id="rId8"/>
    <sheet state="visible" name="SINAR GADING" sheetId="5" r:id="rId9"/>
    <sheet state="visible" name="SUNGAI SUHUT" sheetId="6" r:id="rId10"/>
  </sheets>
  <definedNames/>
  <calcPr/>
</workbook>
</file>

<file path=xl/sharedStrings.xml><?xml version="1.0" encoding="utf-8"?>
<sst xmlns="http://schemas.openxmlformats.org/spreadsheetml/2006/main" count="409" uniqueCount="190">
  <si>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</si>
  <si>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</si>
  <si>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</si>
  <si>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</si>
  <si>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</si>
  <si>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</si>
  <si>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</si>
  <si>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</si>
  <si>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</si>
  <si>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</si>
  <si>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</si>
  <si>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</si>
  <si>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</si>
  <si>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</si>
  <si>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SELATAN</t>
  </si>
  <si>
    <t>RAWA JAYA</t>
  </si>
  <si>
    <t>BUNGO ANTOI</t>
  </si>
  <si>
    <t>DASIH</t>
  </si>
  <si>
    <t>1502084101440003</t>
  </si>
  <si>
    <t>AGUS GUNAWAN</t>
  </si>
  <si>
    <t>JL.ROBUSTA</t>
  </si>
  <si>
    <t>1502061112940001</t>
  </si>
  <si>
    <t>JL. GATOT KACA RT. 024</t>
  </si>
  <si>
    <t>MUARA DELANG</t>
  </si>
  <si>
    <t>MEKAR JAYA</t>
  </si>
  <si>
    <t>ANITA SARI</t>
  </si>
  <si>
    <t>1502086005840001</t>
  </si>
  <si>
    <t>AHMAD MUSBIHIN</t>
  </si>
  <si>
    <t>JL.GURAMI</t>
  </si>
  <si>
    <t>1502081006660001</t>
  </si>
  <si>
    <t>JL. TOMAT</t>
  </si>
  <si>
    <t>DERI CANIAGO</t>
  </si>
  <si>
    <t>1502082410900001</t>
  </si>
  <si>
    <t>JL.SANSIBAR</t>
  </si>
  <si>
    <t>ETIK KURNAETI</t>
  </si>
  <si>
    <t>1502084303810001</t>
  </si>
  <si>
    <t>JL.ARABIKA</t>
  </si>
  <si>
    <t>AHMAT IRFANUL WACIT</t>
  </si>
  <si>
    <t>1502080304890000</t>
  </si>
  <si>
    <t>JL. PARIKESIT RT. 015</t>
  </si>
  <si>
    <t>FATMAN</t>
  </si>
  <si>
    <t>1502080503760001</t>
  </si>
  <si>
    <t>JL.HIBRIDA</t>
  </si>
  <si>
    <t>DEBI ARYA PUTRA</t>
  </si>
  <si>
    <t>LIU MERIDIYAN</t>
  </si>
  <si>
    <t>1502061505000002</t>
  </si>
  <si>
    <t>1502081505970002</t>
  </si>
  <si>
    <t>JL. KRISNA RT. 021</t>
  </si>
  <si>
    <t>FITNA NINGSIH</t>
  </si>
  <si>
    <t>1502084602870001</t>
  </si>
  <si>
    <t>HERU KRISDIANTO</t>
  </si>
  <si>
    <t>JL. KEMANG</t>
  </si>
  <si>
    <t>ASMUNI</t>
  </si>
  <si>
    <t>MUHAMMD SOLEH</t>
  </si>
  <si>
    <t>1502082607750001</t>
  </si>
  <si>
    <t>1502081206890002</t>
  </si>
  <si>
    <t>1502080501840000</t>
  </si>
  <si>
    <t>JL.SIPUTIH</t>
  </si>
  <si>
    <t>NISWAN</t>
  </si>
  <si>
    <t>1502080101780002</t>
  </si>
  <si>
    <t>KHASAN ROHMATULLOH</t>
  </si>
  <si>
    <t>1502061102960001</t>
  </si>
  <si>
    <t>JL. SADEWA RT. 011</t>
  </si>
  <si>
    <t>SAMINGUN</t>
  </si>
  <si>
    <t>1502081211700002</t>
  </si>
  <si>
    <t>JL.CENDANA</t>
  </si>
  <si>
    <t>MARJONO</t>
  </si>
  <si>
    <t>DARMANTO</t>
  </si>
  <si>
    <t>1502080803770001</t>
  </si>
  <si>
    <t>1502132102910001</t>
  </si>
  <si>
    <t>Jl. Rambai</t>
  </si>
  <si>
    <t>JL.TONGKOL</t>
  </si>
  <si>
    <t>SUJOKO</t>
  </si>
  <si>
    <t>1502081111830001</t>
  </si>
  <si>
    <t>JL.TENGGIRI</t>
  </si>
  <si>
    <t>SOBIRIN</t>
  </si>
  <si>
    <t>1502080305890000</t>
  </si>
  <si>
    <t>JL. ARJUNA RT. 014</t>
  </si>
  <si>
    <t>SUPARMI</t>
  </si>
  <si>
    <t>1502084306900001</t>
  </si>
  <si>
    <t>GALUH YOGA PRABOWO</t>
  </si>
  <si>
    <t>SRI PURWANTO</t>
  </si>
  <si>
    <t>1502080803930001</t>
  </si>
  <si>
    <t>1502081504800002</t>
  </si>
  <si>
    <t>JL.RIO JAYO</t>
  </si>
  <si>
    <t>TASYA DWI ALFIONITA</t>
  </si>
  <si>
    <t>JL. YUDISTRA RT. 025</t>
  </si>
  <si>
    <t>1502085812070001</t>
  </si>
  <si>
    <t>MULYONO</t>
  </si>
  <si>
    <t>1502081106760002</t>
  </si>
  <si>
    <t>JL. KEDONDONG</t>
  </si>
  <si>
    <t>SUJITO</t>
  </si>
  <si>
    <t>1502082207850001</t>
  </si>
  <si>
    <t>ISTIANTO</t>
  </si>
  <si>
    <t>1502083007900001</t>
  </si>
  <si>
    <t>SUPARMIN</t>
  </si>
  <si>
    <t>1502080403950001</t>
  </si>
  <si>
    <t>JL. WIBISONO RT. 014</t>
  </si>
  <si>
    <t>NANIK SUGIYANTI</t>
  </si>
  <si>
    <t>JUMIATI</t>
  </si>
  <si>
    <t>1502085605960001</t>
  </si>
  <si>
    <t>1502085008750001</t>
  </si>
  <si>
    <t>JL. SAWIT</t>
  </si>
  <si>
    <t>WIJOKO</t>
  </si>
  <si>
    <t>3314041209890000</t>
  </si>
  <si>
    <t>MARWITO</t>
  </si>
  <si>
    <t>1502080502570001</t>
  </si>
  <si>
    <t>SRI WAHYUNI</t>
  </si>
  <si>
    <t>NENDI SUHENDI</t>
  </si>
  <si>
    <t>1802095906860003</t>
  </si>
  <si>
    <t>3210021002840021</t>
  </si>
  <si>
    <t>JL. KEMIRI</t>
  </si>
  <si>
    <t>MUNARIS</t>
  </si>
  <si>
    <t>TRI LESTARI</t>
  </si>
  <si>
    <t>1502082409940001</t>
  </si>
  <si>
    <t>1503075612960004</t>
  </si>
  <si>
    <t>BUKIT SUBAN</t>
  </si>
  <si>
    <t>SAWINEM</t>
  </si>
  <si>
    <t>1502085005550001</t>
  </si>
  <si>
    <t>MURIDI</t>
  </si>
  <si>
    <t>1502080103650001</t>
  </si>
  <si>
    <t>SUKARMAN</t>
  </si>
  <si>
    <t>1502083012640001</t>
  </si>
  <si>
    <t>SETIYAWAN</t>
  </si>
  <si>
    <t>1502082204860001</t>
  </si>
  <si>
    <t>SLAMET</t>
  </si>
  <si>
    <t>1502080101790002</t>
  </si>
  <si>
    <t>SUHERMAN</t>
  </si>
  <si>
    <t>1502082303840001</t>
  </si>
  <si>
    <t>SUNGKONO</t>
  </si>
  <si>
    <t>1502083112850002</t>
  </si>
  <si>
    <t>JL.PAGAI SUNGAI SAHIT</t>
  </si>
  <si>
    <t>TIMAN</t>
  </si>
  <si>
    <t>3307010107640922</t>
  </si>
  <si>
    <t>JL.SEPAT</t>
  </si>
  <si>
    <t>WARTONO</t>
  </si>
  <si>
    <t>1502081805810001</t>
  </si>
  <si>
    <t>YOTO WIYONO</t>
  </si>
  <si>
    <t>1502081107560001</t>
  </si>
  <si>
    <t>SUNTARI</t>
  </si>
  <si>
    <t>1502081207760001</t>
  </si>
  <si>
    <t>YANI</t>
  </si>
  <si>
    <t>1502080101490006</t>
  </si>
  <si>
    <t>Jl. Kopi</t>
  </si>
  <si>
    <t>AGUS SUPRIYADI</t>
  </si>
  <si>
    <t>1502081808810003</t>
  </si>
  <si>
    <t>JL.SAWIT</t>
  </si>
  <si>
    <t>NURAINI FITRIYAH</t>
  </si>
  <si>
    <t>1503055505910001</t>
  </si>
  <si>
    <t>JL.KEMIRI</t>
  </si>
  <si>
    <t>SUGIANTORO</t>
  </si>
  <si>
    <t>1502082810970001</t>
  </si>
  <si>
    <t>JL.DONDONG</t>
  </si>
  <si>
    <t>SINAR GADING</t>
  </si>
  <si>
    <t>ADETHIA SUKMA NANDA</t>
  </si>
  <si>
    <t>1502082405930001</t>
  </si>
  <si>
    <t>JL.TEKUN</t>
  </si>
  <si>
    <t>ATIKA NOFIANTI</t>
  </si>
  <si>
    <t>1502085903590001</t>
  </si>
  <si>
    <t>JL.RAJIN</t>
  </si>
  <si>
    <t>EDO ALFREDO</t>
  </si>
  <si>
    <t>1502082406950001</t>
  </si>
  <si>
    <t>HENDRA SULISTIYO</t>
  </si>
  <si>
    <t>1502080102950001</t>
  </si>
  <si>
    <t>JL.DAMAI</t>
  </si>
  <si>
    <t>JOKO SUPRIYANTO</t>
  </si>
  <si>
    <t>1502083112830005</t>
  </si>
  <si>
    <t>JL.KARIMUN</t>
  </si>
  <si>
    <t>MISRAN</t>
  </si>
  <si>
    <t>1502080305730001</t>
  </si>
  <si>
    <t>JL.SAMOSI</t>
  </si>
  <si>
    <t>MUHAMMAD NASIR</t>
  </si>
  <si>
    <t>1502081504960002</t>
  </si>
  <si>
    <t>JL.POROS</t>
  </si>
  <si>
    <t>MUJINAH</t>
  </si>
  <si>
    <t>1812075007820002</t>
  </si>
  <si>
    <t>JL.BINTAN</t>
  </si>
  <si>
    <t>SUNGAI SAHUT</t>
  </si>
  <si>
    <t>SITI KOMARIAH</t>
  </si>
  <si>
    <t>1705015202700001</t>
  </si>
  <si>
    <t>JL.SEMANGAT</t>
  </si>
  <si>
    <t>SLAMET MUSTOPO</t>
  </si>
  <si>
    <t>1502081207920001</t>
  </si>
  <si>
    <t>SUGENG SETIAWAN</t>
  </si>
  <si>
    <t>3304062103950001</t>
  </si>
  <si>
    <t>SUGIMIN</t>
  </si>
  <si>
    <t>1502080308820002</t>
  </si>
  <si>
    <t>WIDIAWATI</t>
  </si>
  <si>
    <t>1502087112910006</t>
  </si>
  <si>
    <t>JL.BANGKA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</si>
</sst>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shrinkToFit="0" vertical="bottom" wrapText="0"/>
    </xf>
    <xf quotePrefix="1"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6.88"/>
    <col customWidth="1" min="4" max="4" width="18.5"/>
    <col customWidth="1" min="5" max="5" width="20.0"/>
    <col customWidth="1" min="6" max="6" width="23.88"/>
    <col customWidth="1" min="7" max="7" width="11.38"/>
    <col customWidth="1" min="8" max="8" width="4.38"/>
    <col customWidth="1" min="9" max="9" width="7.5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5" t="s">
        <v>14</v>
      </c>
      <c r="C7" s="15" t="s">
        <v>24</v>
      </c>
      <c r="D7" s="12" t="s">
        <v>27</v>
      </c>
      <c r="E7" s="15" t="s">
        <v>29</v>
      </c>
      <c r="F7" s="15" t="s">
        <v>30</v>
      </c>
      <c r="G7" s="12">
        <v>2025.0</v>
      </c>
      <c r="H7" s="16" t="str">
        <f t="shared" ref="H7:H19" si="1">IF(I7&lt;&gt;"","✓","")</f>
        <v>✓</v>
      </c>
      <c r="I7" s="17">
        <v>2025.0</v>
      </c>
      <c r="J7" s="12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">
        <v>2.0</v>
      </c>
      <c r="B8" s="15" t="s">
        <v>14</v>
      </c>
      <c r="C8" s="15" t="s">
        <v>24</v>
      </c>
      <c r="D8" s="12" t="s">
        <v>48</v>
      </c>
      <c r="E8" s="15" t="s">
        <v>49</v>
      </c>
      <c r="F8" s="15" t="s">
        <v>51</v>
      </c>
      <c r="G8" s="12">
        <v>2025.0</v>
      </c>
      <c r="H8" s="16" t="str">
        <f t="shared" si="1"/>
        <v>✓</v>
      </c>
      <c r="I8" s="17">
        <v>2025.0</v>
      </c>
      <c r="J8" s="12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5" t="s">
        <v>14</v>
      </c>
      <c r="C9" s="15" t="s">
        <v>24</v>
      </c>
      <c r="D9" s="12" t="s">
        <v>66</v>
      </c>
      <c r="E9" s="15" t="s">
        <v>68</v>
      </c>
      <c r="F9" s="15" t="s">
        <v>70</v>
      </c>
      <c r="G9" s="12">
        <v>2025.0</v>
      </c>
      <c r="H9" s="16" t="str">
        <f t="shared" si="1"/>
        <v/>
      </c>
      <c r="I9" s="19"/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4.0</v>
      </c>
      <c r="B10" s="15" t="s">
        <v>14</v>
      </c>
      <c r="C10" s="15" t="s">
        <v>24</v>
      </c>
      <c r="D10" s="12" t="s">
        <v>88</v>
      </c>
      <c r="E10" s="15" t="s">
        <v>89</v>
      </c>
      <c r="F10" s="15" t="s">
        <v>90</v>
      </c>
      <c r="G10" s="12">
        <v>2025.0</v>
      </c>
      <c r="H10" s="16" t="str">
        <f t="shared" si="1"/>
        <v>✓</v>
      </c>
      <c r="I10" s="17">
        <v>2025.0</v>
      </c>
      <c r="J10" s="12">
        <v>1.0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5" t="s">
        <v>14</v>
      </c>
      <c r="C11" s="15" t="s">
        <v>24</v>
      </c>
      <c r="D11" s="12" t="s">
        <v>98</v>
      </c>
      <c r="E11" s="15" t="s">
        <v>100</v>
      </c>
      <c r="F11" s="15" t="s">
        <v>102</v>
      </c>
      <c r="G11" s="12">
        <v>2025.0</v>
      </c>
      <c r="H11" s="16" t="str">
        <f t="shared" si="1"/>
        <v>✓</v>
      </c>
      <c r="I11" s="17">
        <v>2025.0</v>
      </c>
      <c r="J11" s="12">
        <v>1.0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6.0</v>
      </c>
      <c r="B12" s="15" t="s">
        <v>14</v>
      </c>
      <c r="C12" s="15" t="s">
        <v>24</v>
      </c>
      <c r="D12" s="12" t="s">
        <v>108</v>
      </c>
      <c r="E12" s="15" t="s">
        <v>110</v>
      </c>
      <c r="F12" s="15" t="s">
        <v>111</v>
      </c>
      <c r="G12" s="12">
        <v>2025.0</v>
      </c>
      <c r="H12" s="16" t="str">
        <f t="shared" si="1"/>
        <v/>
      </c>
      <c r="I12" s="19"/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5" t="s">
        <v>14</v>
      </c>
      <c r="C13" s="15" t="s">
        <v>24</v>
      </c>
      <c r="D13" s="12" t="s">
        <v>117</v>
      </c>
      <c r="E13" s="15" t="s">
        <v>118</v>
      </c>
      <c r="F13" s="15" t="s">
        <v>90</v>
      </c>
      <c r="G13" s="12">
        <v>2025.0</v>
      </c>
      <c r="H13" s="16" t="str">
        <f t="shared" si="1"/>
        <v>✓</v>
      </c>
      <c r="I13" s="17">
        <v>2025.0</v>
      </c>
      <c r="J13" s="12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8.0</v>
      </c>
      <c r="B14" s="15" t="s">
        <v>14</v>
      </c>
      <c r="C14" s="15" t="s">
        <v>24</v>
      </c>
      <c r="D14" s="12" t="s">
        <v>121</v>
      </c>
      <c r="E14" s="15" t="s">
        <v>122</v>
      </c>
      <c r="F14" s="15" t="s">
        <v>70</v>
      </c>
      <c r="G14" s="12">
        <v>2025.0</v>
      </c>
      <c r="H14" s="16" t="str">
        <f t="shared" si="1"/>
        <v>✓</v>
      </c>
      <c r="I14" s="17">
        <v>2025.0</v>
      </c>
      <c r="J14" s="12">
        <v>1.0</v>
      </c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5" t="s">
        <v>14</v>
      </c>
      <c r="C15" s="15" t="s">
        <v>24</v>
      </c>
      <c r="D15" s="12" t="s">
        <v>139</v>
      </c>
      <c r="E15" s="15" t="s">
        <v>140</v>
      </c>
      <c r="F15" s="15" t="s">
        <v>70</v>
      </c>
      <c r="G15" s="12">
        <v>2025.0</v>
      </c>
      <c r="H15" s="16" t="str">
        <f t="shared" si="1"/>
        <v/>
      </c>
      <c r="I15" s="19"/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5" t="s">
        <v>14</v>
      </c>
      <c r="C16" s="15" t="s">
        <v>24</v>
      </c>
      <c r="D16" s="12" t="s">
        <v>141</v>
      </c>
      <c r="E16" s="15" t="s">
        <v>142</v>
      </c>
      <c r="F16" s="15" t="s">
        <v>143</v>
      </c>
      <c r="G16" s="12">
        <v>2025.0</v>
      </c>
      <c r="H16" s="16" t="str">
        <f t="shared" si="1"/>
        <v>✓</v>
      </c>
      <c r="I16" s="17">
        <v>2025.0</v>
      </c>
      <c r="J16" s="12">
        <v>1.0</v>
      </c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>
        <v>11.0</v>
      </c>
      <c r="B17" s="12" t="s">
        <v>14</v>
      </c>
      <c r="C17" s="12" t="s">
        <v>24</v>
      </c>
      <c r="D17" s="12" t="s">
        <v>144</v>
      </c>
      <c r="E17" s="12" t="s">
        <v>145</v>
      </c>
      <c r="F17" s="12" t="s">
        <v>146</v>
      </c>
      <c r="G17" s="14"/>
      <c r="H17" s="16" t="str">
        <f t="shared" si="1"/>
        <v>✓</v>
      </c>
      <c r="I17" s="17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2" t="s">
        <v>14</v>
      </c>
      <c r="C18" s="12" t="s">
        <v>24</v>
      </c>
      <c r="D18" s="12" t="s">
        <v>147</v>
      </c>
      <c r="E18" s="12" t="s">
        <v>148</v>
      </c>
      <c r="F18" s="12" t="s">
        <v>149</v>
      </c>
      <c r="G18" s="14"/>
      <c r="H18" s="16" t="str">
        <f t="shared" si="1"/>
        <v>✓</v>
      </c>
      <c r="I18" s="17">
        <v>2025.0</v>
      </c>
      <c r="J18" s="14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2" t="s">
        <v>14</v>
      </c>
      <c r="C19" s="12" t="s">
        <v>24</v>
      </c>
      <c r="D19" s="12" t="s">
        <v>150</v>
      </c>
      <c r="E19" s="12" t="s">
        <v>151</v>
      </c>
      <c r="F19" s="12" t="s">
        <v>152</v>
      </c>
      <c r="G19" s="14"/>
      <c r="H19" s="16" t="str">
        <f t="shared" si="1"/>
        <v>✓</v>
      </c>
      <c r="I19" s="17">
        <v>2025.0</v>
      </c>
      <c r="J19" s="14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6.88"/>
    <col customWidth="1" min="4" max="4" width="18.5"/>
    <col customWidth="1" min="5" max="5" width="20.0"/>
    <col customWidth="1" min="6" max="6" width="23.88"/>
    <col customWidth="1" min="7" max="7" width="11.38"/>
    <col customWidth="1" min="8" max="8" width="4.38"/>
    <col customWidth="1" min="9" max="9" width="7.5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2" t="s">
        <v>19</v>
      </c>
      <c r="E7" s="12" t="s">
        <v>21</v>
      </c>
      <c r="F7" s="12" t="s">
        <v>22</v>
      </c>
      <c r="G7" s="12">
        <v>2026.0</v>
      </c>
      <c r="H7" s="16" t="str">
        <f t="shared" ref="H7:H18" si="1">IF(I7&lt;&gt;"","✓","")</f>
        <v/>
      </c>
      <c r="I7" s="19"/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16</v>
      </c>
      <c r="D8" s="12" t="s">
        <v>37</v>
      </c>
      <c r="E8" s="20" t="s">
        <v>38</v>
      </c>
      <c r="F8" s="12" t="s">
        <v>39</v>
      </c>
      <c r="G8" s="12">
        <v>2026.0</v>
      </c>
      <c r="H8" s="16" t="str">
        <f t="shared" si="1"/>
        <v/>
      </c>
      <c r="I8" s="19"/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16</v>
      </c>
      <c r="D9" s="12" t="s">
        <v>43</v>
      </c>
      <c r="E9" s="12" t="s">
        <v>45</v>
      </c>
      <c r="F9" s="12" t="s">
        <v>47</v>
      </c>
      <c r="G9" s="12">
        <v>2026.0</v>
      </c>
      <c r="H9" s="16" t="str">
        <f t="shared" si="1"/>
        <v/>
      </c>
      <c r="I9" s="19"/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16</v>
      </c>
      <c r="D10" s="12" t="s">
        <v>50</v>
      </c>
      <c r="E10" s="20" t="s">
        <v>56</v>
      </c>
      <c r="F10" s="12" t="s">
        <v>47</v>
      </c>
      <c r="G10" s="12">
        <v>2026.0</v>
      </c>
      <c r="H10" s="16" t="str">
        <f t="shared" si="1"/>
        <v/>
      </c>
      <c r="I10" s="19"/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16</v>
      </c>
      <c r="D11" s="12" t="s">
        <v>60</v>
      </c>
      <c r="E11" s="12" t="s">
        <v>61</v>
      </c>
      <c r="F11" s="12" t="s">
        <v>62</v>
      </c>
      <c r="G11" s="12">
        <v>2026.0</v>
      </c>
      <c r="H11" s="16" t="str">
        <f t="shared" si="1"/>
        <v/>
      </c>
      <c r="I11" s="19"/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16</v>
      </c>
      <c r="D12" s="12" t="s">
        <v>75</v>
      </c>
      <c r="E12" s="20" t="s">
        <v>76</v>
      </c>
      <c r="F12" s="12" t="s">
        <v>77</v>
      </c>
      <c r="G12" s="12">
        <v>2026.0</v>
      </c>
      <c r="H12" s="16" t="str">
        <f t="shared" si="1"/>
        <v/>
      </c>
      <c r="I12" s="19"/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16</v>
      </c>
      <c r="D13" s="12" t="s">
        <v>81</v>
      </c>
      <c r="E13" s="12" t="s">
        <v>83</v>
      </c>
      <c r="F13" s="12" t="s">
        <v>86</v>
      </c>
      <c r="G13" s="12">
        <v>2026.0</v>
      </c>
      <c r="H13" s="16" t="str">
        <f t="shared" si="1"/>
        <v/>
      </c>
      <c r="I13" s="19"/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16</v>
      </c>
      <c r="D14" s="12" t="s">
        <v>91</v>
      </c>
      <c r="E14" s="12" t="s">
        <v>92</v>
      </c>
      <c r="F14" s="12" t="s">
        <v>47</v>
      </c>
      <c r="G14" s="12">
        <v>2026.0</v>
      </c>
      <c r="H14" s="16" t="str">
        <f t="shared" si="1"/>
        <v/>
      </c>
      <c r="I14" s="19"/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16</v>
      </c>
      <c r="D15" s="12" t="s">
        <v>95</v>
      </c>
      <c r="E15" s="12" t="s">
        <v>96</v>
      </c>
      <c r="F15" s="12" t="s">
        <v>97</v>
      </c>
      <c r="G15" s="12">
        <v>2026.0</v>
      </c>
      <c r="H15" s="16" t="str">
        <f t="shared" si="1"/>
        <v/>
      </c>
      <c r="I15" s="19"/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16</v>
      </c>
      <c r="D16" s="12" t="s">
        <v>103</v>
      </c>
      <c r="E16" s="20" t="s">
        <v>104</v>
      </c>
      <c r="F16" s="12" t="s">
        <v>97</v>
      </c>
      <c r="G16" s="12">
        <v>2026.0</v>
      </c>
      <c r="H16" s="16" t="str">
        <f t="shared" si="1"/>
        <v/>
      </c>
      <c r="I16" s="19"/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16</v>
      </c>
      <c r="D17" s="12" t="s">
        <v>107</v>
      </c>
      <c r="E17" s="12" t="s">
        <v>109</v>
      </c>
      <c r="F17" s="12" t="s">
        <v>16</v>
      </c>
      <c r="G17" s="14"/>
      <c r="H17" s="16" t="str">
        <f t="shared" si="1"/>
        <v>✓</v>
      </c>
      <c r="I17" s="17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16</v>
      </c>
      <c r="D18" s="12" t="s">
        <v>113</v>
      </c>
      <c r="E18" s="12" t="s">
        <v>115</v>
      </c>
      <c r="F18" s="12" t="s">
        <v>116</v>
      </c>
      <c r="G18" s="14"/>
      <c r="H18" s="16" t="str">
        <f t="shared" si="1"/>
        <v>✓</v>
      </c>
      <c r="I18" s="17">
        <v>2025.0</v>
      </c>
      <c r="J18" s="14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6.88"/>
    <col customWidth="1" min="4" max="4" width="18.5"/>
    <col customWidth="1" min="5" max="5" width="20.0"/>
    <col customWidth="1" min="6" max="6" width="23.88"/>
    <col customWidth="1" min="7" max="7" width="11.38"/>
    <col customWidth="1" min="8" max="8" width="4.38"/>
    <col customWidth="1" min="9" max="9" width="7.5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23</v>
      </c>
      <c r="D7" s="12" t="s">
        <v>25</v>
      </c>
      <c r="E7" s="12" t="s">
        <v>26</v>
      </c>
      <c r="F7" s="12" t="s">
        <v>28</v>
      </c>
      <c r="G7" s="14"/>
      <c r="H7" s="16" t="str">
        <f t="shared" ref="H7:H22" si="1">IF(I7&lt;&gt;"","✓","")</f>
        <v>✓</v>
      </c>
      <c r="I7" s="17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23</v>
      </c>
      <c r="D8" s="12" t="s">
        <v>52</v>
      </c>
      <c r="E8" s="12" t="s">
        <v>54</v>
      </c>
      <c r="F8" s="12" t="s">
        <v>23</v>
      </c>
      <c r="G8" s="14"/>
      <c r="H8" s="16" t="str">
        <f t="shared" si="1"/>
        <v>✓</v>
      </c>
      <c r="I8" s="17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23</v>
      </c>
      <c r="D9" s="12" t="s">
        <v>67</v>
      </c>
      <c r="E9" s="12" t="s">
        <v>69</v>
      </c>
      <c r="F9" s="12" t="s">
        <v>71</v>
      </c>
      <c r="G9" s="14"/>
      <c r="H9" s="16" t="str">
        <f t="shared" si="1"/>
        <v>✓</v>
      </c>
      <c r="I9" s="17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23</v>
      </c>
      <c r="D10" s="12" t="s">
        <v>80</v>
      </c>
      <c r="E10" s="12" t="s">
        <v>82</v>
      </c>
      <c r="F10" s="12" t="s">
        <v>84</v>
      </c>
      <c r="G10" s="14"/>
      <c r="H10" s="16" t="str">
        <f t="shared" si="1"/>
        <v>✓</v>
      </c>
      <c r="I10" s="17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23</v>
      </c>
      <c r="D11" s="12" t="s">
        <v>93</v>
      </c>
      <c r="E11" s="12" t="s">
        <v>94</v>
      </c>
      <c r="F11" s="12" t="s">
        <v>71</v>
      </c>
      <c r="G11" s="14"/>
      <c r="H11" s="16" t="str">
        <f t="shared" si="1"/>
        <v>✓</v>
      </c>
      <c r="I11" s="17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23</v>
      </c>
      <c r="D12" s="12" t="s">
        <v>99</v>
      </c>
      <c r="E12" s="12" t="s">
        <v>101</v>
      </c>
      <c r="F12" s="12" t="s">
        <v>84</v>
      </c>
      <c r="G12" s="14"/>
      <c r="H12" s="16" t="str">
        <f t="shared" si="1"/>
        <v>✓</v>
      </c>
      <c r="I12" s="17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23</v>
      </c>
      <c r="D13" s="12" t="s">
        <v>105</v>
      </c>
      <c r="E13" s="12" t="s">
        <v>106</v>
      </c>
      <c r="F13" s="12" t="s">
        <v>23</v>
      </c>
      <c r="G13" s="14"/>
      <c r="H13" s="16" t="str">
        <f t="shared" si="1"/>
        <v>✓</v>
      </c>
      <c r="I13" s="17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23</v>
      </c>
      <c r="D14" s="12" t="s">
        <v>112</v>
      </c>
      <c r="E14" s="12" t="s">
        <v>114</v>
      </c>
      <c r="F14" s="12" t="s">
        <v>71</v>
      </c>
      <c r="G14" s="14"/>
      <c r="H14" s="16" t="str">
        <f t="shared" si="1"/>
        <v>✓</v>
      </c>
      <c r="I14" s="17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23</v>
      </c>
      <c r="D15" s="12" t="s">
        <v>119</v>
      </c>
      <c r="E15" s="12" t="s">
        <v>120</v>
      </c>
      <c r="F15" s="12" t="s">
        <v>23</v>
      </c>
      <c r="G15" s="14"/>
      <c r="H15" s="16" t="str">
        <f t="shared" si="1"/>
        <v>✓</v>
      </c>
      <c r="I15" s="17">
        <v>2025.0</v>
      </c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23</v>
      </c>
      <c r="D16" s="12" t="s">
        <v>123</v>
      </c>
      <c r="E16" s="12" t="s">
        <v>124</v>
      </c>
      <c r="F16" s="12" t="s">
        <v>23</v>
      </c>
      <c r="G16" s="14"/>
      <c r="H16" s="16" t="str">
        <f t="shared" si="1"/>
        <v>✓</v>
      </c>
      <c r="I16" s="17">
        <v>2025.0</v>
      </c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23</v>
      </c>
      <c r="D17" s="12" t="s">
        <v>125</v>
      </c>
      <c r="E17" s="12" t="s">
        <v>126</v>
      </c>
      <c r="F17" s="12" t="s">
        <v>71</v>
      </c>
      <c r="G17" s="14"/>
      <c r="H17" s="16" t="str">
        <f t="shared" si="1"/>
        <v>✓</v>
      </c>
      <c r="I17" s="17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23</v>
      </c>
      <c r="D18" s="12" t="s">
        <v>127</v>
      </c>
      <c r="E18" s="12" t="s">
        <v>128</v>
      </c>
      <c r="F18" s="12" t="s">
        <v>23</v>
      </c>
      <c r="G18" s="14"/>
      <c r="H18" s="16" t="str">
        <f t="shared" si="1"/>
        <v>✓</v>
      </c>
      <c r="I18" s="17">
        <v>2025.0</v>
      </c>
      <c r="J18" s="14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23</v>
      </c>
      <c r="D19" s="12" t="s">
        <v>129</v>
      </c>
      <c r="E19" s="12" t="s">
        <v>130</v>
      </c>
      <c r="F19" s="12" t="s">
        <v>131</v>
      </c>
      <c r="G19" s="14"/>
      <c r="H19" s="16" t="str">
        <f t="shared" si="1"/>
        <v>✓</v>
      </c>
      <c r="I19" s="17">
        <v>2025.0</v>
      </c>
      <c r="J19" s="14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23</v>
      </c>
      <c r="D20" s="12" t="s">
        <v>132</v>
      </c>
      <c r="E20" s="12" t="s">
        <v>133</v>
      </c>
      <c r="F20" s="12" t="s">
        <v>134</v>
      </c>
      <c r="G20" s="14"/>
      <c r="H20" s="16" t="str">
        <f t="shared" si="1"/>
        <v>✓</v>
      </c>
      <c r="I20" s="17">
        <v>2025.0</v>
      </c>
      <c r="J20" s="14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23</v>
      </c>
      <c r="D21" s="12" t="s">
        <v>135</v>
      </c>
      <c r="E21" s="12" t="s">
        <v>136</v>
      </c>
      <c r="F21" s="12" t="s">
        <v>23</v>
      </c>
      <c r="G21" s="14"/>
      <c r="H21" s="16" t="str">
        <f t="shared" si="1"/>
        <v>✓</v>
      </c>
      <c r="I21" s="17">
        <v>2025.0</v>
      </c>
      <c r="J21" s="14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23</v>
      </c>
      <c r="D22" s="12" t="s">
        <v>137</v>
      </c>
      <c r="E22" s="12" t="s">
        <v>138</v>
      </c>
      <c r="F22" s="12" t="s">
        <v>23</v>
      </c>
      <c r="G22" s="14"/>
      <c r="H22" s="16" t="str">
        <f t="shared" si="1"/>
        <v>✓</v>
      </c>
      <c r="I22" s="17">
        <v>2025.0</v>
      </c>
      <c r="J22" s="14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6.88"/>
    <col customWidth="1" min="4" max="4" width="18.5"/>
    <col customWidth="1" min="5" max="5" width="20.0"/>
    <col customWidth="1" min="6" max="6" width="23.88"/>
    <col customWidth="1" min="7" max="7" width="11.38"/>
    <col customWidth="1" min="8" max="8" width="4.38"/>
    <col customWidth="1" min="9" max="9" width="7.5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17</v>
      </c>
      <c r="E7" s="12" t="s">
        <v>18</v>
      </c>
      <c r="F7" s="12" t="s">
        <v>20</v>
      </c>
      <c r="G7" s="14"/>
      <c r="H7" s="16" t="str">
        <f t="shared" ref="H7:H17" si="1">IF(I7&lt;&gt;"","✓","")</f>
        <v>✓</v>
      </c>
      <c r="I7" s="17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15</v>
      </c>
      <c r="D8" s="12" t="s">
        <v>31</v>
      </c>
      <c r="E8" s="12" t="s">
        <v>32</v>
      </c>
      <c r="F8" s="12" t="s">
        <v>33</v>
      </c>
      <c r="G8" s="14"/>
      <c r="H8" s="16" t="str">
        <f t="shared" si="1"/>
        <v>✓</v>
      </c>
      <c r="I8" s="17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2" t="s">
        <v>34</v>
      </c>
      <c r="E9" s="12" t="s">
        <v>35</v>
      </c>
      <c r="F9" s="12" t="s">
        <v>36</v>
      </c>
      <c r="G9" s="14"/>
      <c r="H9" s="16" t="str">
        <f t="shared" si="1"/>
        <v>✓</v>
      </c>
      <c r="I9" s="17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15</v>
      </c>
      <c r="D10" s="12" t="s">
        <v>40</v>
      </c>
      <c r="E10" s="12" t="s">
        <v>41</v>
      </c>
      <c r="F10" s="12" t="s">
        <v>42</v>
      </c>
      <c r="G10" s="14"/>
      <c r="H10" s="16" t="str">
        <f t="shared" si="1"/>
        <v>✓</v>
      </c>
      <c r="I10" s="17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2" t="s">
        <v>44</v>
      </c>
      <c r="E11" s="12" t="s">
        <v>46</v>
      </c>
      <c r="F11" s="12" t="s">
        <v>42</v>
      </c>
      <c r="G11" s="14"/>
      <c r="H11" s="16" t="str">
        <f t="shared" si="1"/>
        <v>✓</v>
      </c>
      <c r="I11" s="17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15</v>
      </c>
      <c r="D12" s="12" t="s">
        <v>53</v>
      </c>
      <c r="E12" s="12" t="s">
        <v>55</v>
      </c>
      <c r="F12" s="12" t="s">
        <v>57</v>
      </c>
      <c r="G12" s="14"/>
      <c r="H12" s="16" t="str">
        <f t="shared" si="1"/>
        <v>✓</v>
      </c>
      <c r="I12" s="17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2" t="s">
        <v>58</v>
      </c>
      <c r="E13" s="12" t="s">
        <v>59</v>
      </c>
      <c r="F13" s="12" t="s">
        <v>42</v>
      </c>
      <c r="G13" s="14"/>
      <c r="H13" s="16" t="str">
        <f t="shared" si="1"/>
        <v>✓</v>
      </c>
      <c r="I13" s="17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15</v>
      </c>
      <c r="D14" s="12" t="s">
        <v>63</v>
      </c>
      <c r="E14" s="12" t="s">
        <v>64</v>
      </c>
      <c r="F14" s="12" t="s">
        <v>65</v>
      </c>
      <c r="G14" s="14"/>
      <c r="H14" s="16" t="str">
        <f t="shared" si="1"/>
        <v>✓</v>
      </c>
      <c r="I14" s="17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2" t="s">
        <v>72</v>
      </c>
      <c r="E15" s="12" t="s">
        <v>73</v>
      </c>
      <c r="F15" s="12" t="s">
        <v>74</v>
      </c>
      <c r="G15" s="14"/>
      <c r="H15" s="16" t="str">
        <f t="shared" si="1"/>
        <v>✓</v>
      </c>
      <c r="I15" s="17">
        <v>2025.0</v>
      </c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15</v>
      </c>
      <c r="D16" s="12" t="s">
        <v>78</v>
      </c>
      <c r="E16" s="12" t="s">
        <v>79</v>
      </c>
      <c r="F16" s="12" t="s">
        <v>74</v>
      </c>
      <c r="G16" s="14"/>
      <c r="H16" s="16" t="str">
        <f t="shared" si="1"/>
        <v>✓</v>
      </c>
      <c r="I16" s="17">
        <v>2025.0</v>
      </c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2" t="s">
        <v>85</v>
      </c>
      <c r="E17" s="12" t="s">
        <v>87</v>
      </c>
      <c r="F17" s="12" t="s">
        <v>20</v>
      </c>
      <c r="G17" s="14"/>
      <c r="H17" s="16" t="str">
        <f t="shared" si="1"/>
        <v>✓</v>
      </c>
      <c r="I17" s="17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6.88"/>
    <col customWidth="1" min="4" max="4" width="18.5"/>
    <col customWidth="1" min="5" max="5" width="20.0"/>
    <col customWidth="1" min="6" max="6" width="23.88"/>
    <col customWidth="1" min="7" max="7" width="11.38"/>
    <col customWidth="1" min="8" max="8" width="4.38"/>
    <col customWidth="1" min="9" max="9" width="7.5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153</v>
      </c>
      <c r="D7" s="12" t="s">
        <v>154</v>
      </c>
      <c r="E7" s="12" t="s">
        <v>155</v>
      </c>
      <c r="F7" s="12" t="s">
        <v>156</v>
      </c>
      <c r="G7" s="14"/>
      <c r="H7" s="16" t="str">
        <f t="shared" ref="H7:H14" si="1">IF(I7&lt;&gt;"","✓","")</f>
        <v>✓</v>
      </c>
      <c r="I7" s="17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153</v>
      </c>
      <c r="D8" s="12" t="s">
        <v>157</v>
      </c>
      <c r="E8" s="12" t="s">
        <v>158</v>
      </c>
      <c r="F8" s="12" t="s">
        <v>159</v>
      </c>
      <c r="G8" s="14"/>
      <c r="H8" s="16" t="str">
        <f t="shared" si="1"/>
        <v>✓</v>
      </c>
      <c r="I8" s="17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153</v>
      </c>
      <c r="D9" s="12" t="s">
        <v>160</v>
      </c>
      <c r="E9" s="12" t="s">
        <v>161</v>
      </c>
      <c r="F9" s="12" t="s">
        <v>159</v>
      </c>
      <c r="G9" s="14"/>
      <c r="H9" s="16" t="str">
        <f t="shared" si="1"/>
        <v>✓</v>
      </c>
      <c r="I9" s="17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153</v>
      </c>
      <c r="D10" s="12" t="s">
        <v>162</v>
      </c>
      <c r="E10" s="12" t="s">
        <v>163</v>
      </c>
      <c r="F10" s="12" t="s">
        <v>164</v>
      </c>
      <c r="G10" s="14"/>
      <c r="H10" s="16" t="str">
        <f t="shared" si="1"/>
        <v>✓</v>
      </c>
      <c r="I10" s="17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153</v>
      </c>
      <c r="D11" s="12" t="s">
        <v>165</v>
      </c>
      <c r="E11" s="12" t="s">
        <v>166</v>
      </c>
      <c r="F11" s="12" t="s">
        <v>167</v>
      </c>
      <c r="G11" s="14"/>
      <c r="H11" s="16" t="str">
        <f t="shared" si="1"/>
        <v>✓</v>
      </c>
      <c r="I11" s="17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153</v>
      </c>
      <c r="D12" s="12" t="s">
        <v>168</v>
      </c>
      <c r="E12" s="12" t="s">
        <v>169</v>
      </c>
      <c r="F12" s="12" t="s">
        <v>170</v>
      </c>
      <c r="G12" s="14"/>
      <c r="H12" s="16" t="str">
        <f t="shared" si="1"/>
        <v>✓</v>
      </c>
      <c r="I12" s="17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153</v>
      </c>
      <c r="D13" s="12" t="s">
        <v>171</v>
      </c>
      <c r="E13" s="12" t="s">
        <v>172</v>
      </c>
      <c r="F13" s="12" t="s">
        <v>173</v>
      </c>
      <c r="G13" s="14"/>
      <c r="H13" s="16" t="str">
        <f t="shared" si="1"/>
        <v>✓</v>
      </c>
      <c r="I13" s="17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153</v>
      </c>
      <c r="D14" s="12" t="s">
        <v>174</v>
      </c>
      <c r="E14" s="12" t="s">
        <v>175</v>
      </c>
      <c r="F14" s="12" t="s">
        <v>176</v>
      </c>
      <c r="G14" s="14"/>
      <c r="H14" s="16" t="str">
        <f t="shared" si="1"/>
        <v>✓</v>
      </c>
      <c r="I14" s="17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6.88"/>
    <col customWidth="1" min="4" max="4" width="18.5"/>
    <col customWidth="1" min="5" max="5" width="20.0"/>
    <col customWidth="1" min="6" max="6" width="23.88"/>
    <col customWidth="1" min="7" max="7" width="11.38"/>
    <col customWidth="1" min="8" max="8" width="4.38"/>
    <col customWidth="1" min="9" max="9" width="7.5"/>
    <col customWidth="1" min="10" max="10" width="5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177</v>
      </c>
      <c r="D7" s="12" t="s">
        <v>178</v>
      </c>
      <c r="E7" s="12" t="s">
        <v>179</v>
      </c>
      <c r="F7" s="12" t="s">
        <v>180</v>
      </c>
      <c r="G7" s="14"/>
      <c r="H7" s="16" t="str">
        <f t="shared" ref="H7:H11" si="1">IF(I7&lt;&gt;"","✓","")</f>
        <v>✓</v>
      </c>
      <c r="I7" s="17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177</v>
      </c>
      <c r="D8" s="12" t="s">
        <v>181</v>
      </c>
      <c r="E8" s="12" t="s">
        <v>182</v>
      </c>
      <c r="F8" s="12" t="s">
        <v>156</v>
      </c>
      <c r="G8" s="14"/>
      <c r="H8" s="16" t="str">
        <f t="shared" si="1"/>
        <v>✓</v>
      </c>
      <c r="I8" s="17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177</v>
      </c>
      <c r="D9" s="12" t="s">
        <v>183</v>
      </c>
      <c r="E9" s="12" t="s">
        <v>184</v>
      </c>
      <c r="F9" s="12" t="s">
        <v>176</v>
      </c>
      <c r="G9" s="14"/>
      <c r="H9" s="16" t="str">
        <f t="shared" si="1"/>
        <v>✓</v>
      </c>
      <c r="I9" s="17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177</v>
      </c>
      <c r="D10" s="12" t="s">
        <v>185</v>
      </c>
      <c r="E10" s="12" t="s">
        <v>186</v>
      </c>
      <c r="F10" s="12" t="s">
        <v>159</v>
      </c>
      <c r="G10" s="14"/>
      <c r="H10" s="16" t="str">
        <f t="shared" si="1"/>
        <v>✓</v>
      </c>
      <c r="I10" s="17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177</v>
      </c>
      <c r="D11" s="12" t="s">
        <v>187</v>
      </c>
      <c r="E11" s="12" t="s">
        <v>188</v>
      </c>
      <c r="F11" s="12" t="s">
        <v>189</v>
      </c>
      <c r="G11" s="14"/>
      <c r="H11" s="16" t="str">
        <f t="shared" si="1"/>
        <v>✓</v>
      </c>
      <c r="I11" s="17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</sheetData>
  <mergeCells count="4">
    <mergeCell ref="A1:K1"/>
    <mergeCell ref="A2:K2"/>
    <mergeCell ref="A3:K3"/>
    <mergeCell ref="H6:I6"/>
  </mergeCells>
  <drawing r:id="rId1"/>
</worksheet>
</file>