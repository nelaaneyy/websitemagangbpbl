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UDANG" sheetId="1" r:id="rId5"/>
    <sheet state="visible" name="SIALANG" sheetId="2" r:id="rId6"/>
    <sheet state="visible" name="TANJUNG GEDANG" sheetId="3" r:id="rId7"/>
  </sheets>
  <definedNames/>
  <calcPr/>
</workbook>
</file>

<file path=xl/sharedStrings.xml><?xml version="1.0" encoding="utf-8"?>
<sst xmlns="http://schemas.openxmlformats.org/spreadsheetml/2006/main" count="112" uniqueCount="51">
  <si>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</si>
  <si>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</si>
  <si>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</si>
  <si>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</si>
  <si>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</si>
  <si>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</si>
  <si>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</si>
  <si>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</si>
  <si>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</si>
  <si>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</si>
  <si>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</si>
  <si>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</si>
  <si>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</si>
  <si>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</si>
  <si>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</t>
  </si>
  <si>
    <t>SUNGAI UDANG</t>
  </si>
  <si>
    <t>ADI WIBOWO</t>
  </si>
  <si>
    <t>1502061808770001</t>
  </si>
  <si>
    <t>RT. 05</t>
  </si>
  <si>
    <t>SIALANG</t>
  </si>
  <si>
    <t>ASEP AMIN</t>
  </si>
  <si>
    <t>1502061506700002</t>
  </si>
  <si>
    <t>TANJUNG GEDANG</t>
  </si>
  <si>
    <t>SIDOL</t>
  </si>
  <si>
    <t>1502060710840001</t>
  </si>
  <si>
    <t>ARI FORMA WIJAYA</t>
  </si>
  <si>
    <t>1502062108960001</t>
  </si>
  <si>
    <t>RT. 14</t>
  </si>
  <si>
    <t>NYASNIN</t>
  </si>
  <si>
    <t>1502060908630002</t>
  </si>
  <si>
    <t>SULIKATIN</t>
  </si>
  <si>
    <t>1502065803800002</t>
  </si>
  <si>
    <t>RT. 10</t>
  </si>
  <si>
    <t>EKA LISMAWATI</t>
  </si>
  <si>
    <t>1502065101960001</t>
  </si>
  <si>
    <t>TUMPAK</t>
  </si>
  <si>
    <t>1502064809790002</t>
  </si>
  <si>
    <t>RT. 07</t>
  </si>
  <si>
    <t>VIRLANA EKA. S</t>
  </si>
  <si>
    <t>1502062700900003</t>
  </si>
  <si>
    <t>RT. 01</t>
  </si>
  <si>
    <t>MUHAMMAD IKHWAN</t>
  </si>
  <si>
    <t>1502063009830001</t>
  </si>
  <si>
    <t>PURWATI</t>
  </si>
  <si>
    <t>1502065310900002</t>
  </si>
  <si>
    <t>SRI SUARNI</t>
  </si>
  <si>
    <t>1503074501970001</t>
  </si>
  <si>
    <t>ZUBAIDAH</t>
  </si>
  <si>
    <t>1502065005310001</t>
  </si>
  <si>
    <t>SUHADA</t>
  </si>
  <si>
    <t>1502060304760002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</si>
</sst>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6" fillId="0" fontId="3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4" max="4" width="21.0"/>
    <col customWidth="1" min="5" max="5" width="22.38"/>
    <col customWidth="1" min="6" max="6" width="20.63"/>
    <col customWidth="1" min="8" max="8" width="3.75"/>
    <col customWidth="1" min="9" max="9" width="7.38"/>
    <col customWidth="1" min="10" max="10" width="4.25"/>
    <col customWidth="1" min="11" max="11" width="18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2" t="s">
        <v>15</v>
      </c>
      <c r="D7" s="13" t="s">
        <v>16</v>
      </c>
      <c r="E7" s="12" t="s">
        <v>17</v>
      </c>
      <c r="F7" s="12" t="s">
        <v>18</v>
      </c>
      <c r="G7" s="13">
        <v>2025.0</v>
      </c>
      <c r="H7" s="14" t="str">
        <f t="shared" ref="H7:H12" si="1">IF(I7&lt;&gt;"","✓","")</f>
        <v>✓</v>
      </c>
      <c r="I7" s="17">
        <v>2025.0</v>
      </c>
      <c r="J7" s="12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">
        <v>2.0</v>
      </c>
      <c r="B8" s="11" t="s">
        <v>14</v>
      </c>
      <c r="C8" s="12" t="s">
        <v>15</v>
      </c>
      <c r="D8" s="13" t="s">
        <v>25</v>
      </c>
      <c r="E8" s="12" t="s">
        <v>26</v>
      </c>
      <c r="F8" s="12" t="s">
        <v>27</v>
      </c>
      <c r="G8" s="13">
        <v>2025.0</v>
      </c>
      <c r="H8" s="14" t="str">
        <f t="shared" si="1"/>
        <v>✓</v>
      </c>
      <c r="I8" s="17">
        <v>2025.0</v>
      </c>
      <c r="J8" s="12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2" t="s">
        <v>15</v>
      </c>
      <c r="D9" s="13" t="s">
        <v>28</v>
      </c>
      <c r="E9" s="12" t="s">
        <v>29</v>
      </c>
      <c r="F9" s="12" t="s">
        <v>27</v>
      </c>
      <c r="G9" s="13">
        <v>2025.0</v>
      </c>
      <c r="H9" s="14" t="str">
        <f t="shared" si="1"/>
        <v/>
      </c>
      <c r="I9" s="20"/>
      <c r="J9" s="21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">
        <v>4.0</v>
      </c>
      <c r="B10" s="11" t="s">
        <v>14</v>
      </c>
      <c r="C10" s="12" t="s">
        <v>15</v>
      </c>
      <c r="D10" s="13" t="s">
        <v>30</v>
      </c>
      <c r="E10" s="12" t="s">
        <v>31</v>
      </c>
      <c r="F10" s="12" t="s">
        <v>32</v>
      </c>
      <c r="G10" s="13">
        <v>2025.0</v>
      </c>
      <c r="H10" s="14" t="str">
        <f t="shared" si="1"/>
        <v/>
      </c>
      <c r="I10" s="20"/>
      <c r="J10" s="21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2" t="s">
        <v>15</v>
      </c>
      <c r="D11" s="13" t="s">
        <v>35</v>
      </c>
      <c r="E11" s="12" t="s">
        <v>36</v>
      </c>
      <c r="F11" s="12" t="s">
        <v>37</v>
      </c>
      <c r="G11" s="13">
        <v>2025.0</v>
      </c>
      <c r="H11" s="14" t="str">
        <f t="shared" si="1"/>
        <v>✓</v>
      </c>
      <c r="I11" s="17">
        <v>2025.0</v>
      </c>
      <c r="J11" s="12">
        <v>1.0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">
        <v>6.0</v>
      </c>
      <c r="B12" s="11" t="s">
        <v>14</v>
      </c>
      <c r="C12" s="12" t="s">
        <v>15</v>
      </c>
      <c r="D12" s="13" t="s">
        <v>38</v>
      </c>
      <c r="E12" s="12" t="s">
        <v>39</v>
      </c>
      <c r="F12" s="12" t="s">
        <v>40</v>
      </c>
      <c r="G12" s="13">
        <v>2025.0</v>
      </c>
      <c r="H12" s="14" t="str">
        <f t="shared" si="1"/>
        <v/>
      </c>
      <c r="I12" s="20"/>
      <c r="J12" s="21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4" max="4" width="21.0"/>
    <col customWidth="1" min="5" max="5" width="22.38"/>
    <col customWidth="1" min="6" max="6" width="20.63"/>
    <col customWidth="1" min="8" max="8" width="3.75"/>
    <col customWidth="1" min="9" max="9" width="7.38"/>
    <col customWidth="1" min="10" max="10" width="4.25"/>
    <col customWidth="1" min="11" max="11" width="18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1" t="s">
        <v>14</v>
      </c>
      <c r="C7" s="13" t="s">
        <v>19</v>
      </c>
      <c r="D7" s="13" t="s">
        <v>20</v>
      </c>
      <c r="E7" s="13" t="s">
        <v>21</v>
      </c>
      <c r="F7" s="13" t="s">
        <v>19</v>
      </c>
      <c r="G7" s="15"/>
      <c r="H7" s="14" t="str">
        <f t="shared" ref="H7:H12" si="1">IF(I7&lt;&gt;"","✓","")</f>
        <v>✓</v>
      </c>
      <c r="I7" s="17">
        <v>2025.0</v>
      </c>
      <c r="J7" s="21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6">
        <v>2.0</v>
      </c>
      <c r="B8" s="11" t="s">
        <v>14</v>
      </c>
      <c r="C8" s="13" t="s">
        <v>19</v>
      </c>
      <c r="D8" s="13" t="s">
        <v>33</v>
      </c>
      <c r="E8" s="13" t="s">
        <v>34</v>
      </c>
      <c r="F8" s="13" t="s">
        <v>19</v>
      </c>
      <c r="G8" s="15"/>
      <c r="H8" s="14" t="str">
        <f t="shared" si="1"/>
        <v>✓</v>
      </c>
      <c r="I8" s="17">
        <v>2025.0</v>
      </c>
      <c r="J8" s="21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1" t="s">
        <v>14</v>
      </c>
      <c r="C9" s="13" t="s">
        <v>19</v>
      </c>
      <c r="D9" s="13" t="s">
        <v>41</v>
      </c>
      <c r="E9" s="13" t="s">
        <v>42</v>
      </c>
      <c r="F9" s="13" t="s">
        <v>19</v>
      </c>
      <c r="G9" s="15"/>
      <c r="H9" s="14" t="str">
        <f t="shared" si="1"/>
        <v>✓</v>
      </c>
      <c r="I9" s="17">
        <v>2025.0</v>
      </c>
      <c r="J9" s="21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3" t="s">
        <v>19</v>
      </c>
      <c r="D10" s="13" t="s">
        <v>43</v>
      </c>
      <c r="E10" s="13" t="s">
        <v>44</v>
      </c>
      <c r="F10" s="13" t="s">
        <v>19</v>
      </c>
      <c r="G10" s="15"/>
      <c r="H10" s="14" t="str">
        <f t="shared" si="1"/>
        <v>✓</v>
      </c>
      <c r="I10" s="17">
        <v>2025.0</v>
      </c>
      <c r="J10" s="21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6">
        <v>5.0</v>
      </c>
      <c r="B11" s="11" t="s">
        <v>14</v>
      </c>
      <c r="C11" s="13" t="s">
        <v>19</v>
      </c>
      <c r="D11" s="13" t="s">
        <v>45</v>
      </c>
      <c r="E11" s="13" t="s">
        <v>46</v>
      </c>
      <c r="F11" s="13" t="s">
        <v>19</v>
      </c>
      <c r="G11" s="15"/>
      <c r="H11" s="14" t="str">
        <f t="shared" si="1"/>
        <v>✓</v>
      </c>
      <c r="I11" s="17">
        <v>2025.0</v>
      </c>
      <c r="J11" s="21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1" t="s">
        <v>14</v>
      </c>
      <c r="C12" s="13" t="s">
        <v>19</v>
      </c>
      <c r="D12" s="13" t="s">
        <v>49</v>
      </c>
      <c r="E12" s="13" t="s">
        <v>50</v>
      </c>
      <c r="F12" s="13" t="s">
        <v>19</v>
      </c>
      <c r="G12" s="15"/>
      <c r="H12" s="14" t="str">
        <f t="shared" si="1"/>
        <v>✓</v>
      </c>
      <c r="I12" s="17">
        <v>2025.0</v>
      </c>
      <c r="J12" s="21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4" max="4" width="21.0"/>
    <col customWidth="1" min="5" max="5" width="22.38"/>
    <col customWidth="1" min="6" max="6" width="20.63"/>
    <col customWidth="1" min="8" max="8" width="3.75"/>
    <col customWidth="1" min="9" max="9" width="7.38"/>
    <col customWidth="1" min="10" max="10" width="4.25"/>
    <col customWidth="1" min="11" max="11" width="18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6">
        <v>1.0</v>
      </c>
      <c r="B7" s="11" t="s">
        <v>14</v>
      </c>
      <c r="C7" s="13" t="s">
        <v>22</v>
      </c>
      <c r="D7" s="13" t="s">
        <v>23</v>
      </c>
      <c r="E7" s="13" t="s">
        <v>24</v>
      </c>
      <c r="F7" s="13" t="s">
        <v>22</v>
      </c>
      <c r="G7" s="15"/>
      <c r="H7" s="14" t="str">
        <f t="shared" ref="H7:H8" si="1">IF(I7&lt;&gt;"","✓","")</f>
        <v>✓</v>
      </c>
      <c r="I7" s="17">
        <v>2025.0</v>
      </c>
      <c r="J7" s="21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3" t="s">
        <v>22</v>
      </c>
      <c r="D8" s="13" t="s">
        <v>47</v>
      </c>
      <c r="E8" s="13" t="s">
        <v>48</v>
      </c>
      <c r="F8" s="13" t="s">
        <v>22</v>
      </c>
      <c r="G8" s="15"/>
      <c r="H8" s="14" t="str">
        <f t="shared" si="1"/>
        <v>✓</v>
      </c>
      <c r="I8" s="17">
        <v>2025.0</v>
      </c>
      <c r="J8" s="21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