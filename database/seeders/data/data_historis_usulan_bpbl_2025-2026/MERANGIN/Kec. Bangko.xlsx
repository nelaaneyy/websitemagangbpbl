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LING" sheetId="1" r:id="rId5"/>
    <sheet state="visible" name="KUNGKAI" sheetId="2" r:id="rId6"/>
    <sheet state="visible" name="SUNGAI KAPAS" sheetId="3" r:id="rId7"/>
  </sheets>
  <definedNames/>
  <calcPr/>
</workbook>
</file>

<file path=xl/sharedStrings.xml><?xml version="1.0" encoding="utf-8"?>
<sst xmlns="http://schemas.openxmlformats.org/spreadsheetml/2006/main" count="189" uniqueCount="77">
  <si>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</si>
  <si>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</si>
  <si>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</si>
  <si>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</si>
  <si>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</si>
  <si>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</si>
  <si>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</si>
  <si>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</si>
  <si>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</si>
  <si>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</si>
  <si>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</si>
  <si>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</si>
  <si>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</si>
  <si>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</si>
  <si>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BANGKO</t>
  </si>
  <si>
    <t>LANGLING</t>
  </si>
  <si>
    <t>ALI MAKMUR</t>
  </si>
  <si>
    <t>1515030403640001</t>
  </si>
  <si>
    <t>RT 7</t>
  </si>
  <si>
    <t>KUNGKAI</t>
  </si>
  <si>
    <t>SUNGAI KAPAS</t>
  </si>
  <si>
    <t>DITA NURMALA SARI</t>
  </si>
  <si>
    <t>INTAN WULANDARI</t>
  </si>
  <si>
    <t>1502027010990001</t>
  </si>
  <si>
    <t>1502026411970001</t>
  </si>
  <si>
    <t>BANDI</t>
  </si>
  <si>
    <t>1502021010630004</t>
  </si>
  <si>
    <t>RT 5</t>
  </si>
  <si>
    <t>DAHLAN</t>
  </si>
  <si>
    <t>1502021010820015</t>
  </si>
  <si>
    <t>DEPLI</t>
  </si>
  <si>
    <t>1502020108770001</t>
  </si>
  <si>
    <t>ROHAYATI</t>
  </si>
  <si>
    <t>1502025003780002</t>
  </si>
  <si>
    <t>ERI</t>
  </si>
  <si>
    <t>1502024708970002</t>
  </si>
  <si>
    <t>HENDRA S</t>
  </si>
  <si>
    <t>1502021902790001</t>
  </si>
  <si>
    <t>IKBAL ORI</t>
  </si>
  <si>
    <t>1502101510950001</t>
  </si>
  <si>
    <t>SITI MULYANAH</t>
  </si>
  <si>
    <t>1502024303870002</t>
  </si>
  <si>
    <t>KARMIN</t>
  </si>
  <si>
    <t>1502020605790002</t>
  </si>
  <si>
    <t>LASINI</t>
  </si>
  <si>
    <t>1502026501690001</t>
  </si>
  <si>
    <t>LUKAS P</t>
  </si>
  <si>
    <t>1502021708900003</t>
  </si>
  <si>
    <t>M. FRENDI</t>
  </si>
  <si>
    <t>1502021705930003</t>
  </si>
  <si>
    <t>M. RIYAD</t>
  </si>
  <si>
    <t>1502021202720001</t>
  </si>
  <si>
    <t>MAISITOH</t>
  </si>
  <si>
    <t>1502027012770002</t>
  </si>
  <si>
    <t>RAHARJO</t>
  </si>
  <si>
    <t>1502021211630001</t>
  </si>
  <si>
    <t>SAPARI</t>
  </si>
  <si>
    <t>1809051211750002</t>
  </si>
  <si>
    <t>SELAMAT</t>
  </si>
  <si>
    <t>1502020611700003</t>
  </si>
  <si>
    <t>SINAN</t>
  </si>
  <si>
    <t>1502020409680001</t>
  </si>
  <si>
    <t>SRI MARYATI</t>
  </si>
  <si>
    <t>1503036003600004</t>
  </si>
  <si>
    <t>SUGIYANTO</t>
  </si>
  <si>
    <t>SUKADI</t>
  </si>
  <si>
    <t>1503012403520001</t>
  </si>
  <si>
    <t>SURADI</t>
  </si>
  <si>
    <t>1502020207810002</t>
  </si>
  <si>
    <t>SURANTO</t>
  </si>
  <si>
    <t>1502020307950003</t>
  </si>
  <si>
    <t>SUTRISNO</t>
  </si>
  <si>
    <t>1502022712810001</t>
  </si>
  <si>
    <t>SUYIKNO</t>
  </si>
  <si>
    <t>SWEDI</t>
  </si>
  <si>
    <t>1518112412710001</t>
  </si>
  <si>
    <t>TIMOR P SIPAHUTAR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</si>
</sst>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2" fontId="2" numFmtId="0" xfId="0" applyAlignment="1" applyBorder="1" applyFill="1" applyFont="1">
      <alignment vertical="bottom"/>
    </xf>
    <xf borderId="5" fillId="2" fontId="1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6" fillId="0" fontId="4" numFmtId="0" xfId="0" applyBorder="1" applyFont="1"/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 shrinkToFit="0" vertical="bottom" wrapText="0"/>
    </xf>
    <xf borderId="7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8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20.75"/>
    <col customWidth="1" min="5" max="5" width="18.88"/>
    <col customWidth="1" min="8" max="8" width="4.13"/>
    <col customWidth="1" min="9" max="9" width="7.88"/>
    <col customWidth="1" min="10" max="10" width="4.88"/>
    <col customWidth="1" min="11" max="11" width="18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15</v>
      </c>
      <c r="D7" s="14" t="s">
        <v>16</v>
      </c>
      <c r="E7" s="15" t="s">
        <v>17</v>
      </c>
      <c r="F7" s="15" t="s">
        <v>18</v>
      </c>
      <c r="G7" s="14">
        <v>2026.0</v>
      </c>
      <c r="H7" s="17" t="str">
        <f t="shared" ref="H7:H31" si="1">IF(I7&lt;&gt;"","✓","")</f>
        <v/>
      </c>
      <c r="I7" s="18"/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15</v>
      </c>
      <c r="D8" s="14" t="s">
        <v>25</v>
      </c>
      <c r="E8" s="15" t="s">
        <v>26</v>
      </c>
      <c r="F8" s="15" t="s">
        <v>27</v>
      </c>
      <c r="G8" s="14">
        <v>2026.0</v>
      </c>
      <c r="H8" s="17" t="str">
        <f t="shared" si="1"/>
        <v/>
      </c>
      <c r="I8" s="18"/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15</v>
      </c>
      <c r="D9" s="14" t="s">
        <v>28</v>
      </c>
      <c r="E9" s="15" t="s">
        <v>29</v>
      </c>
      <c r="F9" s="15" t="s">
        <v>27</v>
      </c>
      <c r="G9" s="14">
        <v>2026.0</v>
      </c>
      <c r="H9" s="17" t="str">
        <f t="shared" si="1"/>
        <v/>
      </c>
      <c r="I9" s="18"/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15</v>
      </c>
      <c r="D10" s="14" t="s">
        <v>30</v>
      </c>
      <c r="E10" s="15" t="s">
        <v>31</v>
      </c>
      <c r="F10" s="15" t="s">
        <v>18</v>
      </c>
      <c r="G10" s="14">
        <v>2026.0</v>
      </c>
      <c r="H10" s="17" t="str">
        <f t="shared" si="1"/>
        <v/>
      </c>
      <c r="I10" s="18"/>
      <c r="J10" s="18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15</v>
      </c>
      <c r="D11" s="14" t="s">
        <v>36</v>
      </c>
      <c r="E11" s="15" t="s">
        <v>37</v>
      </c>
      <c r="F11" s="15" t="s">
        <v>18</v>
      </c>
      <c r="G11" s="14">
        <v>2026.0</v>
      </c>
      <c r="H11" s="17" t="str">
        <f t="shared" si="1"/>
        <v/>
      </c>
      <c r="I11" s="18"/>
      <c r="J11" s="18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15</v>
      </c>
      <c r="D12" s="14" t="s">
        <v>38</v>
      </c>
      <c r="E12" s="15" t="s">
        <v>39</v>
      </c>
      <c r="F12" s="15" t="s">
        <v>27</v>
      </c>
      <c r="G12" s="14">
        <v>2026.0</v>
      </c>
      <c r="H12" s="17" t="str">
        <f t="shared" si="1"/>
        <v/>
      </c>
      <c r="I12" s="18"/>
      <c r="J12" s="18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15</v>
      </c>
      <c r="D13" s="14" t="s">
        <v>42</v>
      </c>
      <c r="E13" s="15" t="s">
        <v>43</v>
      </c>
      <c r="F13" s="15" t="s">
        <v>27</v>
      </c>
      <c r="G13" s="14">
        <v>2026.0</v>
      </c>
      <c r="H13" s="17" t="str">
        <f t="shared" si="1"/>
        <v/>
      </c>
      <c r="I13" s="18"/>
      <c r="J13" s="18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15</v>
      </c>
      <c r="D14" s="14" t="s">
        <v>44</v>
      </c>
      <c r="E14" s="15" t="s">
        <v>45</v>
      </c>
      <c r="F14" s="15" t="s">
        <v>18</v>
      </c>
      <c r="G14" s="14">
        <v>2026.0</v>
      </c>
      <c r="H14" s="17" t="str">
        <f t="shared" si="1"/>
        <v/>
      </c>
      <c r="I14" s="18"/>
      <c r="J14" s="18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15</v>
      </c>
      <c r="D15" s="14" t="s">
        <v>46</v>
      </c>
      <c r="E15" s="15" t="s">
        <v>47</v>
      </c>
      <c r="F15" s="15" t="s">
        <v>27</v>
      </c>
      <c r="G15" s="14">
        <v>2026.0</v>
      </c>
      <c r="H15" s="17" t="str">
        <f t="shared" si="1"/>
        <v/>
      </c>
      <c r="I15" s="18"/>
      <c r="J15" s="18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15</v>
      </c>
      <c r="D16" s="14" t="s">
        <v>48</v>
      </c>
      <c r="E16" s="15" t="s">
        <v>49</v>
      </c>
      <c r="F16" s="15" t="s">
        <v>18</v>
      </c>
      <c r="G16" s="14">
        <v>2026.0</v>
      </c>
      <c r="H16" s="17" t="str">
        <f t="shared" si="1"/>
        <v/>
      </c>
      <c r="I16" s="18"/>
      <c r="J16" s="18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15</v>
      </c>
      <c r="D17" s="14" t="s">
        <v>50</v>
      </c>
      <c r="E17" s="15" t="s">
        <v>51</v>
      </c>
      <c r="F17" s="15" t="s">
        <v>27</v>
      </c>
      <c r="G17" s="14">
        <v>2026.0</v>
      </c>
      <c r="H17" s="17" t="str">
        <f t="shared" si="1"/>
        <v/>
      </c>
      <c r="I17" s="18"/>
      <c r="J17" s="18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15</v>
      </c>
      <c r="D18" s="14" t="s">
        <v>52</v>
      </c>
      <c r="E18" s="15" t="s">
        <v>53</v>
      </c>
      <c r="F18" s="15" t="s">
        <v>27</v>
      </c>
      <c r="G18" s="14">
        <v>2026.0</v>
      </c>
      <c r="H18" s="17" t="str">
        <f t="shared" si="1"/>
        <v/>
      </c>
      <c r="I18" s="18"/>
      <c r="J18" s="18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15</v>
      </c>
      <c r="D19" s="14" t="s">
        <v>54</v>
      </c>
      <c r="E19" s="15" t="s">
        <v>55</v>
      </c>
      <c r="F19" s="15" t="s">
        <v>27</v>
      </c>
      <c r="G19" s="14">
        <v>2026.0</v>
      </c>
      <c r="H19" s="17" t="str">
        <f t="shared" si="1"/>
        <v/>
      </c>
      <c r="I19" s="18"/>
      <c r="J19" s="18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15</v>
      </c>
      <c r="D20" s="14" t="s">
        <v>56</v>
      </c>
      <c r="E20" s="15" t="s">
        <v>57</v>
      </c>
      <c r="F20" s="15" t="s">
        <v>27</v>
      </c>
      <c r="G20" s="14">
        <v>2026.0</v>
      </c>
      <c r="H20" s="17" t="str">
        <f t="shared" si="1"/>
        <v/>
      </c>
      <c r="I20" s="18"/>
      <c r="J20" s="18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15</v>
      </c>
      <c r="D21" s="14" t="s">
        <v>58</v>
      </c>
      <c r="E21" s="15" t="s">
        <v>59</v>
      </c>
      <c r="F21" s="15" t="s">
        <v>27</v>
      </c>
      <c r="G21" s="14">
        <v>2026.0</v>
      </c>
      <c r="H21" s="17" t="str">
        <f t="shared" si="1"/>
        <v/>
      </c>
      <c r="I21" s="18"/>
      <c r="J21" s="18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15</v>
      </c>
      <c r="D22" s="14" t="s">
        <v>60</v>
      </c>
      <c r="E22" s="15" t="s">
        <v>61</v>
      </c>
      <c r="F22" s="15" t="s">
        <v>18</v>
      </c>
      <c r="G22" s="14">
        <v>2026.0</v>
      </c>
      <c r="H22" s="17" t="str">
        <f t="shared" si="1"/>
        <v/>
      </c>
      <c r="I22" s="18"/>
      <c r="J22" s="18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15</v>
      </c>
      <c r="D23" s="14" t="s">
        <v>62</v>
      </c>
      <c r="E23" s="15" t="s">
        <v>63</v>
      </c>
      <c r="F23" s="15" t="s">
        <v>18</v>
      </c>
      <c r="G23" s="14">
        <v>2026.0</v>
      </c>
      <c r="H23" s="17" t="str">
        <f t="shared" si="1"/>
        <v/>
      </c>
      <c r="I23" s="18"/>
      <c r="J23" s="18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15</v>
      </c>
      <c r="D24" s="14" t="s">
        <v>64</v>
      </c>
      <c r="E24" s="15">
        <v>1.50202201170002E14</v>
      </c>
      <c r="F24" s="15" t="s">
        <v>18</v>
      </c>
      <c r="G24" s="14">
        <v>2026.0</v>
      </c>
      <c r="H24" s="17" t="str">
        <f t="shared" si="1"/>
        <v/>
      </c>
      <c r="I24" s="18"/>
      <c r="J24" s="18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15</v>
      </c>
      <c r="D25" s="14" t="s">
        <v>65</v>
      </c>
      <c r="E25" s="15" t="s">
        <v>66</v>
      </c>
      <c r="F25" s="15" t="s">
        <v>27</v>
      </c>
      <c r="G25" s="14">
        <v>2026.0</v>
      </c>
      <c r="H25" s="17" t="str">
        <f t="shared" si="1"/>
        <v/>
      </c>
      <c r="I25" s="18"/>
      <c r="J25" s="18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15</v>
      </c>
      <c r="D26" s="14" t="s">
        <v>67</v>
      </c>
      <c r="E26" s="15" t="s">
        <v>68</v>
      </c>
      <c r="F26" s="15" t="s">
        <v>18</v>
      </c>
      <c r="G26" s="14">
        <v>2026.0</v>
      </c>
      <c r="H26" s="17" t="str">
        <f t="shared" si="1"/>
        <v/>
      </c>
      <c r="I26" s="18"/>
      <c r="J26" s="18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15</v>
      </c>
      <c r="D27" s="14" t="s">
        <v>69</v>
      </c>
      <c r="E27" s="15" t="s">
        <v>70</v>
      </c>
      <c r="F27" s="15" t="s">
        <v>27</v>
      </c>
      <c r="G27" s="14">
        <v>2026.0</v>
      </c>
      <c r="H27" s="17" t="str">
        <f t="shared" si="1"/>
        <v/>
      </c>
      <c r="I27" s="18"/>
      <c r="J27" s="18"/>
      <c r="K27" s="1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3" t="s">
        <v>15</v>
      </c>
      <c r="D28" s="14" t="s">
        <v>71</v>
      </c>
      <c r="E28" s="15" t="s">
        <v>72</v>
      </c>
      <c r="F28" s="15" t="s">
        <v>18</v>
      </c>
      <c r="G28" s="14">
        <v>2026.0</v>
      </c>
      <c r="H28" s="17" t="str">
        <f t="shared" si="1"/>
        <v/>
      </c>
      <c r="I28" s="18"/>
      <c r="J28" s="18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3" t="s">
        <v>15</v>
      </c>
      <c r="D29" s="14" t="s">
        <v>73</v>
      </c>
      <c r="E29" s="15">
        <v>3.31815171840003E14</v>
      </c>
      <c r="F29" s="15" t="s">
        <v>18</v>
      </c>
      <c r="G29" s="14">
        <v>2026.0</v>
      </c>
      <c r="H29" s="17" t="str">
        <f t="shared" si="1"/>
        <v/>
      </c>
      <c r="I29" s="18"/>
      <c r="J29" s="18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3" t="s">
        <v>14</v>
      </c>
      <c r="C30" s="13" t="s">
        <v>15</v>
      </c>
      <c r="D30" s="14" t="s">
        <v>74</v>
      </c>
      <c r="E30" s="15" t="s">
        <v>75</v>
      </c>
      <c r="F30" s="15" t="s">
        <v>18</v>
      </c>
      <c r="G30" s="14">
        <v>2026.0</v>
      </c>
      <c r="H30" s="17" t="str">
        <f t="shared" si="1"/>
        <v/>
      </c>
      <c r="I30" s="18"/>
      <c r="J30" s="18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3" t="s">
        <v>14</v>
      </c>
      <c r="C31" s="13" t="s">
        <v>15</v>
      </c>
      <c r="D31" s="14" t="s">
        <v>76</v>
      </c>
      <c r="E31" s="15">
        <v>1.5020207210006E13</v>
      </c>
      <c r="F31" s="15" t="s">
        <v>18</v>
      </c>
      <c r="G31" s="14">
        <v>2026.0</v>
      </c>
      <c r="H31" s="17" t="str">
        <f t="shared" si="1"/>
        <v/>
      </c>
      <c r="I31" s="18"/>
      <c r="J31" s="18"/>
      <c r="K31" s="1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20.75"/>
    <col customWidth="1" min="5" max="5" width="18.88"/>
    <col customWidth="1" min="8" max="8" width="4.13"/>
    <col customWidth="1" min="9" max="9" width="7.88"/>
    <col customWidth="1" min="10" max="10" width="4.88"/>
    <col customWidth="1" min="11" max="11" width="18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10" t="s">
        <v>12</v>
      </c>
      <c r="I6" s="12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19</v>
      </c>
      <c r="D7" s="14" t="s">
        <v>21</v>
      </c>
      <c r="E7" s="14" t="s">
        <v>23</v>
      </c>
      <c r="F7" s="14" t="s">
        <v>19</v>
      </c>
      <c r="G7" s="16"/>
      <c r="H7" s="20" t="str">
        <f t="shared" ref="H7:H8" si="1">IF(I7&lt;&gt;"","✓","")</f>
        <v/>
      </c>
      <c r="I7" s="19"/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19</v>
      </c>
      <c r="D8" s="14" t="s">
        <v>34</v>
      </c>
      <c r="E8" s="14" t="s">
        <v>35</v>
      </c>
      <c r="F8" s="14" t="s">
        <v>19</v>
      </c>
      <c r="G8" s="16"/>
      <c r="H8" s="20" t="str">
        <f t="shared" si="1"/>
        <v>✓</v>
      </c>
      <c r="I8" s="21">
        <v>2025.0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20.75"/>
    <col customWidth="1" min="5" max="5" width="18.88"/>
    <col customWidth="1" min="8" max="8" width="4.13"/>
    <col customWidth="1" min="9" max="9" width="7.88"/>
    <col customWidth="1" min="10" max="10" width="4.88"/>
    <col customWidth="1" min="11" max="11" width="18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10" t="s">
        <v>12</v>
      </c>
      <c r="I6" s="12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20</v>
      </c>
      <c r="D7" s="14" t="s">
        <v>22</v>
      </c>
      <c r="E7" s="14" t="s">
        <v>24</v>
      </c>
      <c r="F7" s="14" t="s">
        <v>20</v>
      </c>
      <c r="G7" s="16"/>
      <c r="H7" s="20" t="str">
        <f t="shared" ref="H7:H9" si="1">IF(I7&lt;&gt;"","✓","")</f>
        <v>✓</v>
      </c>
      <c r="I7" s="21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20</v>
      </c>
      <c r="D8" s="14" t="s">
        <v>32</v>
      </c>
      <c r="E8" s="14" t="s">
        <v>33</v>
      </c>
      <c r="F8" s="14" t="s">
        <v>20</v>
      </c>
      <c r="G8" s="16"/>
      <c r="H8" s="20" t="str">
        <f t="shared" si="1"/>
        <v>✓</v>
      </c>
      <c r="I8" s="21">
        <v>2025.0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20</v>
      </c>
      <c r="D9" s="14" t="s">
        <v>40</v>
      </c>
      <c r="E9" s="14" t="s">
        <v>41</v>
      </c>
      <c r="F9" s="14" t="s">
        <v>20</v>
      </c>
      <c r="G9" s="16"/>
      <c r="H9" s="20" t="str">
        <f t="shared" si="1"/>
        <v>✓</v>
      </c>
      <c r="I9" s="21">
        <v>2025.0</v>
      </c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</sheetData>
  <mergeCells count="4">
    <mergeCell ref="A1:K1"/>
    <mergeCell ref="A2:K2"/>
    <mergeCell ref="A3:K3"/>
    <mergeCell ref="H6:I6"/>
  </mergeCells>
  <drawing r:id="rId1"/>
</worksheet>
</file>