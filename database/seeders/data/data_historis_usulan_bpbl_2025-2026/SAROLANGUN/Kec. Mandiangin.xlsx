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NDIANGIN PASAR" sheetId="1" r:id="rId5"/>
    <sheet state="visible" name="MANDIANGIN TUO" sheetId="2" r:id="rId6"/>
    <sheet state="visible" name="TAMAN DEWA" sheetId="3" r:id="rId7"/>
    <sheet state="visible" name="BUKIT PERANGINAN" sheetId="4" r:id="rId8"/>
    <sheet state="visible" name="GURUN BARU" sheetId="5" r:id="rId9"/>
    <sheet state="visible" name="GURUN MUDO" sheetId="6" r:id="rId10"/>
    <sheet state="visible" name="GURUN TUO SIMPANG" sheetId="7" r:id="rId11"/>
    <sheet state="visible" name="KERTOPATI" sheetId="8" r:id="rId12"/>
    <sheet state="visible" name="MANDIANGIN" sheetId="9" r:id="rId13"/>
    <sheet state="visible" name="MUARO KETALO" sheetId="10" r:id="rId14"/>
    <sheet state="visible" name="SIMPANG KERTOPATI" sheetId="11" r:id="rId15"/>
    <sheet state="visible" name="TALANG SERDANG" sheetId="12" r:id="rId16"/>
  </sheets>
  <definedNames/>
  <calcPr/>
</workbook>
</file>

<file path=xl/sharedStrings.xml><?xml version="1.0" encoding="utf-8"?>
<sst xmlns="http://schemas.openxmlformats.org/spreadsheetml/2006/main" count="786" uniqueCount="336">
  <si>
    <t>REKAPITULASI USULAN DAN REALISASI PENERIMA BPBL PROVINSI JAMBI</t>
  </si>
  <si>
    <t>MELALUI KEGIATAN PLN (Sumber Dana APBN)</t>
  </si>
  <si>
    <t>TAHUN 2025-2026</t>
  </si>
  <si>
    <t>Kab/Kota</t>
  </si>
  <si>
    <t>: Kabupaten Sarolangun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</si>
  <si>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</si>
  <si>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</si>
  <si>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</si>
  <si>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</si>
  <si>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</si>
  <si>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</si>
  <si>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</si>
  <si>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</si>
  <si>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</si>
  <si>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MANDIANGIN</t>
  </si>
  <si>
    <t>MANDIANGIN PASAR</t>
  </si>
  <si>
    <t>MANDIANGIN TUO</t>
  </si>
  <si>
    <t>IMSAR</t>
  </si>
  <si>
    <t>ENDRAWATI</t>
  </si>
  <si>
    <t>1503060907650001</t>
  </si>
  <si>
    <t>1503064107720134</t>
  </si>
  <si>
    <t>TEBAT / 08</t>
  </si>
  <si>
    <t>SIMPANG TIGE</t>
  </si>
  <si>
    <t>BUKITPERANGINAN</t>
  </si>
  <si>
    <t>DIDIK KURNIAWAN</t>
  </si>
  <si>
    <t>TAMAN DEWA</t>
  </si>
  <si>
    <t>1503060405840002</t>
  </si>
  <si>
    <t>RT.005 DUSUN II</t>
  </si>
  <si>
    <t>MUALIMIN</t>
  </si>
  <si>
    <t>1503062606720001</t>
  </si>
  <si>
    <t>RT. 03 DUSUN SUNGAI LINTAH</t>
  </si>
  <si>
    <t>AFTAR</t>
  </si>
  <si>
    <t>1503061111910004</t>
  </si>
  <si>
    <t>DEDI DORES</t>
  </si>
  <si>
    <t>1503060907900001</t>
  </si>
  <si>
    <t>SUKOKARANGAN/14</t>
  </si>
  <si>
    <t>FAHMI</t>
  </si>
  <si>
    <t>SAPARI</t>
  </si>
  <si>
    <t>3318111803890008</t>
  </si>
  <si>
    <t>KURNIA SAMSUL BAHRI</t>
  </si>
  <si>
    <t>1503061004910002</t>
  </si>
  <si>
    <t>RT. 01 DUSUN SUNGAI LINTAH</t>
  </si>
  <si>
    <t>M.SOLEH</t>
  </si>
  <si>
    <t>1503066106910002</t>
  </si>
  <si>
    <t>RT.003 DUSUN I</t>
  </si>
  <si>
    <t>M. YUSUF N</t>
  </si>
  <si>
    <t>1503060104850001</t>
  </si>
  <si>
    <t>JONI ISKANDAR</t>
  </si>
  <si>
    <t>1503060606970001</t>
  </si>
  <si>
    <t>MAIZAL EFENDI</t>
  </si>
  <si>
    <t>1503062505890001</t>
  </si>
  <si>
    <t>IBRAHIM</t>
  </si>
  <si>
    <t>DJANTA IKHWAN</t>
  </si>
  <si>
    <t>NOPRIANSAH</t>
  </si>
  <si>
    <t>1503060107720104</t>
  </si>
  <si>
    <t>1503061107860003</t>
  </si>
  <si>
    <t>SUKOKARANGAN/10</t>
  </si>
  <si>
    <t>1503062209880001</t>
  </si>
  <si>
    <t>RT. 02 DUSUN SUNGAI LINTAH</t>
  </si>
  <si>
    <t>IBROHIM</t>
  </si>
  <si>
    <t>1503063009980001</t>
  </si>
  <si>
    <t>TOTO SUTONO</t>
  </si>
  <si>
    <t>1811070708800005</t>
  </si>
  <si>
    <t>LISMA JULITA</t>
  </si>
  <si>
    <t>1503064111870001</t>
  </si>
  <si>
    <t>NURMAN</t>
  </si>
  <si>
    <t>1503060107600151</t>
  </si>
  <si>
    <t>FERDI SANTARA</t>
  </si>
  <si>
    <t>DUSUN BUKIT PERANGINAN</t>
  </si>
  <si>
    <t>WAN C</t>
  </si>
  <si>
    <t>1503061006630006</t>
  </si>
  <si>
    <t>1503062103010003</t>
  </si>
  <si>
    <t>ARI CURIATI</t>
  </si>
  <si>
    <t>1503065007850001</t>
  </si>
  <si>
    <t>DUSUN PASAR BAKTI RT. 02</t>
  </si>
  <si>
    <t>PERLINDUNGAN GANDA SAPUTRA.S</t>
  </si>
  <si>
    <t>1503061511980001</t>
  </si>
  <si>
    <t>FITRIA SANTI</t>
  </si>
  <si>
    <t>1503066802020001</t>
  </si>
  <si>
    <t>DUSUN DUSUN TEBAT</t>
  </si>
  <si>
    <t>TAUFIK HIDAYAT</t>
  </si>
  <si>
    <t>EDI PURMANTO</t>
  </si>
  <si>
    <t>1503062512770001</t>
  </si>
  <si>
    <t>SETANGGUK REMAS</t>
  </si>
  <si>
    <t>1503060711850001</t>
  </si>
  <si>
    <t>RT. 10 DUSUN SUNGAI LINTAH</t>
  </si>
  <si>
    <t>BUKIT PERANGINAN</t>
  </si>
  <si>
    <t>TINI</t>
  </si>
  <si>
    <t>JUNI ARIANSYAH</t>
  </si>
  <si>
    <t>1503061006950003</t>
  </si>
  <si>
    <t>1504044607580001</t>
  </si>
  <si>
    <t>DUSUN SUKOKARANGAN RT. 14</t>
  </si>
  <si>
    <t>RT.008 DUSUN III</t>
  </si>
  <si>
    <t>HANDI HARTO</t>
  </si>
  <si>
    <t>1503062406730001</t>
  </si>
  <si>
    <t>MUSRI EFENDI</t>
  </si>
  <si>
    <t>MARIA</t>
  </si>
  <si>
    <t>1503060107580143</t>
  </si>
  <si>
    <t>1503064507650002</t>
  </si>
  <si>
    <t>RT. 09 DUSUN SUNGAI LINTAH</t>
  </si>
  <si>
    <t>DUSUN SUKOKARANGAN RT. 16</t>
  </si>
  <si>
    <t>M. ZEN</t>
  </si>
  <si>
    <t>1503061112920004</t>
  </si>
  <si>
    <t>BALUHAN</t>
  </si>
  <si>
    <t>ZAINA</t>
  </si>
  <si>
    <t>1503065112720001</t>
  </si>
  <si>
    <t>RT.006 DUSUN II</t>
  </si>
  <si>
    <t>MARYANI</t>
  </si>
  <si>
    <t>1503062706990001</t>
  </si>
  <si>
    <t>SUKOKARANGAN RT 01</t>
  </si>
  <si>
    <t>TOHER</t>
  </si>
  <si>
    <t>HATIA</t>
  </si>
  <si>
    <t>1503064107540029</t>
  </si>
  <si>
    <t>1503064305460001</t>
  </si>
  <si>
    <t>DUSUN SUKOKARANGAN RT. 12</t>
  </si>
  <si>
    <t>PRAN HERDIYANTO</t>
  </si>
  <si>
    <t>1503060511970004</t>
  </si>
  <si>
    <t>MELA AMELIA</t>
  </si>
  <si>
    <t>1503064407030002</t>
  </si>
  <si>
    <t>DUSUN SUKOKARANGAN RT. 15</t>
  </si>
  <si>
    <t>CEK JUMADIN</t>
  </si>
  <si>
    <t>1503062912890001</t>
  </si>
  <si>
    <t>NORMAN SUHADA</t>
  </si>
  <si>
    <t>RT 13 DUSUN SUNGAI RAMBAI</t>
  </si>
  <si>
    <t>1503062006990008</t>
  </si>
  <si>
    <t>ADI SAPUTRA</t>
  </si>
  <si>
    <t>1503062303860002</t>
  </si>
  <si>
    <t>PARTI</t>
  </si>
  <si>
    <t>1503064507980002</t>
  </si>
  <si>
    <t>ARDI YANSYAH</t>
  </si>
  <si>
    <t>DESA MANDIANGIN PASAR, DUSUN TEBAT 04</t>
  </si>
  <si>
    <t>1503060901870002</t>
  </si>
  <si>
    <t>ELI YATIKA</t>
  </si>
  <si>
    <t>1503064107750127</t>
  </si>
  <si>
    <t>RT 14, TANAH ABANG</t>
  </si>
  <si>
    <t>HARIS</t>
  </si>
  <si>
    <t>1503061511770001</t>
  </si>
  <si>
    <t>R ITA</t>
  </si>
  <si>
    <t>1503064306860004</t>
  </si>
  <si>
    <t>HENDRI INUAR</t>
  </si>
  <si>
    <t>1503061706900001</t>
  </si>
  <si>
    <t>RT 14 DUSUN TANAH ABANG</t>
  </si>
  <si>
    <t>DUSUN SIMPANG TIGA, RT. 003 RW 001</t>
  </si>
  <si>
    <t>RUSNIYATI</t>
  </si>
  <si>
    <t>1503064212650002</t>
  </si>
  <si>
    <t>HENDRIANSAH</t>
  </si>
  <si>
    <t>1503062502910007</t>
  </si>
  <si>
    <t>RT 14 DUSUN TANAH ABG</t>
  </si>
  <si>
    <t>MANDIHARTO</t>
  </si>
  <si>
    <t>RT. 004</t>
  </si>
  <si>
    <t>SILFIA</t>
  </si>
  <si>
    <t>HENITA</t>
  </si>
  <si>
    <t>1503066401920001</t>
  </si>
  <si>
    <t>1503064606840002</t>
  </si>
  <si>
    <t>TAUPIK HIDAYAT</t>
  </si>
  <si>
    <t>RT 03 DUSUN SUNGAI LINTAH</t>
  </si>
  <si>
    <t>DUSUN TEBAT RT. 09</t>
  </si>
  <si>
    <t>RT 004 RW 005</t>
  </si>
  <si>
    <t>RT 01 DUSUN SUNGAI LINTAH</t>
  </si>
  <si>
    <t>SEKAR FITRI ARUMWIDYNIGSI</t>
  </si>
  <si>
    <t>1503065012930003</t>
  </si>
  <si>
    <t>GURUN BARU</t>
  </si>
  <si>
    <t>AGUS SUPRYADI</t>
  </si>
  <si>
    <t>1502191206740001</t>
  </si>
  <si>
    <t>GURU BARU</t>
  </si>
  <si>
    <t>AMRI</t>
  </si>
  <si>
    <t>1503060107790171</t>
  </si>
  <si>
    <t>ARIPIN</t>
  </si>
  <si>
    <t>1503060107800171</t>
  </si>
  <si>
    <t>INDRA</t>
  </si>
  <si>
    <t>1503060804910005</t>
  </si>
  <si>
    <t>SEKAMIS</t>
  </si>
  <si>
    <t>JULIA EKA SARI</t>
  </si>
  <si>
    <t>1503066007790002</t>
  </si>
  <si>
    <t>NING HOLIDA</t>
  </si>
  <si>
    <t>1503064105640005</t>
  </si>
  <si>
    <t>NURIHIJA ALMERI</t>
  </si>
  <si>
    <t>1503064403880001</t>
  </si>
  <si>
    <t>SAMIONO HAFTO</t>
  </si>
  <si>
    <t>1503051306950003</t>
  </si>
  <si>
    <t>GURUN BARU RT 06</t>
  </si>
  <si>
    <t>GURUN MUDO</t>
  </si>
  <si>
    <t>AMILIN</t>
  </si>
  <si>
    <t>1503060909820002</t>
  </si>
  <si>
    <t>RT 07 GURUN MUDO</t>
  </si>
  <si>
    <t>BENDI HAMZAH</t>
  </si>
  <si>
    <t>1605061010950004</t>
  </si>
  <si>
    <t>RT 005</t>
  </si>
  <si>
    <t>DIMAN</t>
  </si>
  <si>
    <t>1503061312790002</t>
  </si>
  <si>
    <t>RT 008</t>
  </si>
  <si>
    <t>HALIFAH</t>
  </si>
  <si>
    <t>1503065612760002</t>
  </si>
  <si>
    <t>RT 04</t>
  </si>
  <si>
    <t>JULIA NENGSI</t>
  </si>
  <si>
    <t>1503065212890006</t>
  </si>
  <si>
    <t>MURNI</t>
  </si>
  <si>
    <t>1503065501770001</t>
  </si>
  <si>
    <t>RT 01</t>
  </si>
  <si>
    <t>RAJI SEPTIAN</t>
  </si>
  <si>
    <t>1503063009030001</t>
  </si>
  <si>
    <t>RT 02</t>
  </si>
  <si>
    <t>GURUN TUO SIMPANG</t>
  </si>
  <si>
    <t>EMIRAT IJUAN</t>
  </si>
  <si>
    <t>1503062207920002</t>
  </si>
  <si>
    <t>GURUN TUO SIMPANG SIDO RUKUN</t>
  </si>
  <si>
    <t>ROSNIDA</t>
  </si>
  <si>
    <t>1503064708700004</t>
  </si>
  <si>
    <t>RT 002</t>
  </si>
  <si>
    <t>RUSNI</t>
  </si>
  <si>
    <t>1503065010490002</t>
  </si>
  <si>
    <t>RT 001</t>
  </si>
  <si>
    <t>SALNI EFENDI</t>
  </si>
  <si>
    <t>1503060105780002</t>
  </si>
  <si>
    <t>SUHAIBAH</t>
  </si>
  <si>
    <t>1503065507770002</t>
  </si>
  <si>
    <t>RT 001 RW 001</t>
  </si>
  <si>
    <t>IZIDDUN</t>
  </si>
  <si>
    <t>1503060107630183</t>
  </si>
  <si>
    <t>GURUN TOU SIMPANG 001</t>
  </si>
  <si>
    <t>SUHAIMI</t>
  </si>
  <si>
    <t>1503060901690001</t>
  </si>
  <si>
    <t>RT002/TW001</t>
  </si>
  <si>
    <t>M SODIKIN</t>
  </si>
  <si>
    <t>1503061706750003</t>
  </si>
  <si>
    <t>GURUN TUO</t>
  </si>
  <si>
    <t>SYAMSIMAT</t>
  </si>
  <si>
    <t>1503065510620003</t>
  </si>
  <si>
    <t>M. AZWAR ILHAM</t>
  </si>
  <si>
    <t>1503062103850005</t>
  </si>
  <si>
    <t>ZUBAIDAH</t>
  </si>
  <si>
    <t>1503064107630238</t>
  </si>
  <si>
    <t>KERTOPATI</t>
  </si>
  <si>
    <t>HENDRI</t>
  </si>
  <si>
    <t>1503061011840007</t>
  </si>
  <si>
    <t>KERTOPATI RT 001</t>
  </si>
  <si>
    <t>M. HERNADI</t>
  </si>
  <si>
    <t>1503062502960005</t>
  </si>
  <si>
    <t>KERTOPATI RT.005</t>
  </si>
  <si>
    <t>M. KHOIRU</t>
  </si>
  <si>
    <t>1503060505990006</t>
  </si>
  <si>
    <t>KERTOPATI RT.006</t>
  </si>
  <si>
    <t>M. MUKTI</t>
  </si>
  <si>
    <t>1503060107810114</t>
  </si>
  <si>
    <t>KERTOPATI RT 01</t>
  </si>
  <si>
    <t>M.ABDILAH</t>
  </si>
  <si>
    <t>1503061602030001</t>
  </si>
  <si>
    <t>DESA SIMPANG KERTOPATI RT 004</t>
  </si>
  <si>
    <t>MIHANA</t>
  </si>
  <si>
    <t>1503065806930003</t>
  </si>
  <si>
    <t>MUHAMMAD SODIKIN</t>
  </si>
  <si>
    <t>1509121109940002</t>
  </si>
  <si>
    <t>KERTOPATI RT 004</t>
  </si>
  <si>
    <t>NETI ARIANI</t>
  </si>
  <si>
    <t>1503045104920002</t>
  </si>
  <si>
    <t>DESA KERTOPATI RT.006</t>
  </si>
  <si>
    <t>NORMA</t>
  </si>
  <si>
    <t>1503066801600001</t>
  </si>
  <si>
    <t>RISNA AISA</t>
  </si>
  <si>
    <t>1503066702890001</t>
  </si>
  <si>
    <t>KERTOPATI RT 007</t>
  </si>
  <si>
    <t>SARIHA</t>
  </si>
  <si>
    <t>1503065102850001</t>
  </si>
  <si>
    <t>SATIMIN</t>
  </si>
  <si>
    <t>1503062104520001</t>
  </si>
  <si>
    <t>SIMPANG KERTOPATI RT 004</t>
  </si>
  <si>
    <t>SUKINAH</t>
  </si>
  <si>
    <t>1503065102540001</t>
  </si>
  <si>
    <t>KERTOPATI RT 002</t>
  </si>
  <si>
    <t>ELI SUSANTI</t>
  </si>
  <si>
    <t>1503065505930001</t>
  </si>
  <si>
    <t>DUSUN GAUNG GARINCING RT 14</t>
  </si>
  <si>
    <t>GHOZI</t>
  </si>
  <si>
    <t>1503062404710001</t>
  </si>
  <si>
    <t>LIAM LESTARI</t>
  </si>
  <si>
    <t>HARTATI</t>
  </si>
  <si>
    <t>1503066704740002</t>
  </si>
  <si>
    <t>DUSUSN SUKA DAMAI RT 01</t>
  </si>
  <si>
    <t>JAYANTI MANDASARI AGUSTIN</t>
  </si>
  <si>
    <t>1503061108950006</t>
  </si>
  <si>
    <t>BANGUN MAKMUR RT 07</t>
  </si>
  <si>
    <t>KURNIA SEJAHTERA</t>
  </si>
  <si>
    <t>1503060503010004</t>
  </si>
  <si>
    <t>DUSUN BANGUN MAKMUR RT 01</t>
  </si>
  <si>
    <t>ROHMAT</t>
  </si>
  <si>
    <t>1503060107870102</t>
  </si>
  <si>
    <t>DUSUN MANDIANGIN</t>
  </si>
  <si>
    <t>SRI MULYANI</t>
  </si>
  <si>
    <t>1503065505900006</t>
  </si>
  <si>
    <t>MANDIANGIN RT 07</t>
  </si>
  <si>
    <t>SUMIYATI</t>
  </si>
  <si>
    <t>1503066011850001</t>
  </si>
  <si>
    <t>DUSUN BANGUN MAKMUR</t>
  </si>
  <si>
    <t>MUARO KETALO</t>
  </si>
  <si>
    <t>BAHARIA</t>
  </si>
  <si>
    <t>1503065107460001</t>
  </si>
  <si>
    <t>RT 08 DESA MUARA KETALO</t>
  </si>
  <si>
    <t>CIK UNA</t>
  </si>
  <si>
    <t>1503066108510001</t>
  </si>
  <si>
    <t>RT 05 DESA MUARA KETALO</t>
  </si>
  <si>
    <t>CIK YU</t>
  </si>
  <si>
    <t>1503064110560001</t>
  </si>
  <si>
    <t>RT 03 DESA MUARA KETALO</t>
  </si>
  <si>
    <t>HANISA</t>
  </si>
  <si>
    <t>1503065409550001</t>
  </si>
  <si>
    <t>HENDRA</t>
  </si>
  <si>
    <t>1503062112860001</t>
  </si>
  <si>
    <t>RT 04 DESA MUARA KETALO</t>
  </si>
  <si>
    <t>SABLI</t>
  </si>
  <si>
    <t>1503061102510003</t>
  </si>
  <si>
    <t>ZAINUL</t>
  </si>
  <si>
    <t>1503061901630002</t>
  </si>
  <si>
    <t>SIMPANG KERTOPATI</t>
  </si>
  <si>
    <t>SITI PATIMAH</t>
  </si>
  <si>
    <t>1509015003820001</t>
  </si>
  <si>
    <t>SUDIANTO</t>
  </si>
  <si>
    <t>1503061204810004</t>
  </si>
  <si>
    <t>SIMPANG KERTOPATI RT 03</t>
  </si>
  <si>
    <t>SUGETI</t>
  </si>
  <si>
    <t>1503067107850001</t>
  </si>
  <si>
    <t>SUKIMAN</t>
  </si>
  <si>
    <t>1503062712790001</t>
  </si>
  <si>
    <t>SIMPANG KERTOPATI RT 05</t>
  </si>
  <si>
    <t>TALANG SERDANG</t>
  </si>
  <si>
    <t>AHMADI HASAN</t>
  </si>
  <si>
    <t>1503061509790001</t>
  </si>
  <si>
    <t>MIFTAKHUDDIN</t>
  </si>
  <si>
    <t>1503060507700001</t>
  </si>
  <si>
    <t>MUHAMAT PONIRIN</t>
  </si>
  <si>
    <t>1503061012740003</t>
  </si>
  <si>
    <t>SAIPUL BAHRIANSYAH</t>
  </si>
  <si>
    <t>1503062510820002</t>
  </si>
  <si>
    <t>SUHARYANTO</t>
  </si>
  <si>
    <t>1503060909780003</t>
  </si>
  <si>
    <t>TAUFIK ANDRI</t>
  </si>
  <si>
    <t>1504040206820001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</si>
</sst>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b/>
      <sz val="12.0"/>
      <color theme="1"/>
      <name val="Calibri"/>
    </font>
    <font>
      <sz val="11.0"/>
      <color theme="1"/>
      <name val="Calibri"/>
    </font>
    <font/>
    <font>
      <color theme="1"/>
      <name val="Calibri"/>
    </font>
    <font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1" fillId="2" fontId="4" numFmtId="0" xfId="0" applyAlignment="1" applyBorder="1" applyFill="1" applyFont="1">
      <alignment horizontal="center"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5" numFmtId="0" xfId="0" applyBorder="1" applyFont="1"/>
    <xf borderId="4" fillId="2" fontId="2" numFmtId="0" xfId="0" applyAlignment="1" applyBorder="1" applyFill="1" applyFont="1">
      <alignment vertical="bottom"/>
    </xf>
    <xf borderId="1" fillId="0" fontId="6" numFmtId="0" xfId="0" applyAlignment="1" applyBorder="1" applyFont="1">
      <alignment horizontal="center" vertical="bottom"/>
    </xf>
    <xf borderId="1" fillId="0" fontId="6" numFmtId="0" xfId="0" applyAlignment="1" applyBorder="1" applyFont="1">
      <alignment horizontal="center" readingOrder="0" vertical="bottom"/>
    </xf>
    <xf borderId="1" fillId="0" fontId="7" numFmtId="0" xfId="0" applyAlignment="1" applyBorder="1" applyFont="1">
      <alignment horizontal="center" readingOrder="0" shrinkToFit="0" wrapText="0"/>
    </xf>
    <xf borderId="1" fillId="0" fontId="7" numFmtId="0" xfId="0" applyAlignment="1" applyBorder="1" applyFont="1">
      <alignment horizontal="center" readingOrder="0" shrinkToFit="0" vertical="bottom" wrapText="0"/>
    </xf>
    <xf borderId="1" fillId="0" fontId="7" numFmtId="0" xfId="0" applyAlignment="1" applyBorder="1" applyFont="1">
      <alignment horizontal="center" shrinkToFit="0" vertical="bottom" wrapText="0"/>
    </xf>
    <xf borderId="2" fillId="0" fontId="2" numFmtId="0" xfId="0" applyAlignment="1" applyBorder="1" applyFont="1">
      <alignment vertical="bottom"/>
    </xf>
    <xf borderId="3" fillId="0" fontId="7" numFmtId="0" xfId="0" applyAlignment="1" applyBorder="1" applyFont="1">
      <alignment horizontal="center" shrinkToFit="0" wrapText="0"/>
    </xf>
    <xf borderId="1" fillId="0" fontId="7" numFmtId="0" xfId="0" applyAlignment="1" applyBorder="1" applyFont="1">
      <alignment horizontal="center" shrinkToFit="0" wrapText="0"/>
    </xf>
    <xf borderId="3" fillId="0" fontId="2" numFmtId="0" xfId="0" applyAlignment="1" applyBorder="1" applyFont="1">
      <alignment vertical="bottom"/>
    </xf>
    <xf borderId="3" fillId="0" fontId="7" numFmtId="0" xfId="0" applyAlignment="1" applyBorder="1" applyFont="1">
      <alignment horizontal="center" readingOrder="0" shrinkToFit="0" vertical="bottom" wrapText="0"/>
    </xf>
    <xf borderId="1" fillId="0" fontId="7" numFmtId="0" xfId="0" applyAlignment="1" applyBorder="1" applyFont="1">
      <alignment horizontal="center" vertical="bottom"/>
    </xf>
    <xf borderId="1" fillId="0" fontId="2" numFmtId="0" xfId="0" applyAlignment="1" applyBorder="1" applyFont="1">
      <alignment vertical="bottom"/>
    </xf>
    <xf borderId="3" fillId="0" fontId="7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38"/>
    <col customWidth="1" min="3" max="3" width="24.0"/>
    <col customWidth="1" min="4" max="4" width="30.63"/>
    <col customWidth="1" min="5" max="5" width="24.13"/>
    <col customWidth="1" min="6" max="6" width="36.63"/>
    <col customWidth="1" min="8" max="8" width="5.63"/>
    <col customWidth="1" min="10" max="10" width="6.25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5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9"/>
      <c r="K6" s="6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0">
        <v>1.0</v>
      </c>
      <c r="B7" s="12" t="s">
        <v>14</v>
      </c>
      <c r="C7" s="12" t="s">
        <v>15</v>
      </c>
      <c r="D7" s="13" t="s">
        <v>18</v>
      </c>
      <c r="E7" s="12" t="s">
        <v>20</v>
      </c>
      <c r="F7" s="13" t="s">
        <v>21</v>
      </c>
      <c r="G7" s="12">
        <v>2025.0</v>
      </c>
      <c r="H7" s="15" t="str">
        <f t="shared" ref="H7:H24" si="1">IF(I7&lt;&gt;"","✓","")</f>
        <v/>
      </c>
      <c r="I7" s="16"/>
      <c r="J7" s="17"/>
      <c r="K7" s="18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0">
        <v>2.0</v>
      </c>
      <c r="B8" s="12" t="s">
        <v>14</v>
      </c>
      <c r="C8" s="12" t="s">
        <v>15</v>
      </c>
      <c r="D8" s="13" t="s">
        <v>33</v>
      </c>
      <c r="E8" s="12" t="s">
        <v>34</v>
      </c>
      <c r="F8" s="13" t="s">
        <v>35</v>
      </c>
      <c r="G8" s="12">
        <v>2025.0</v>
      </c>
      <c r="H8" s="15" t="str">
        <f t="shared" si="1"/>
        <v/>
      </c>
      <c r="I8" s="16"/>
      <c r="J8" s="17"/>
      <c r="K8" s="18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0">
        <v>3.0</v>
      </c>
      <c r="B9" s="12" t="s">
        <v>14</v>
      </c>
      <c r="C9" s="12" t="s">
        <v>15</v>
      </c>
      <c r="D9" s="13" t="s">
        <v>37</v>
      </c>
      <c r="E9" s="12" t="s">
        <v>38</v>
      </c>
      <c r="F9" s="13" t="s">
        <v>35</v>
      </c>
      <c r="G9" s="12">
        <v>2025.0</v>
      </c>
      <c r="H9" s="15" t="str">
        <f t="shared" si="1"/>
        <v>✓</v>
      </c>
      <c r="I9" s="19">
        <v>2025.0</v>
      </c>
      <c r="J9" s="12">
        <v>1.0</v>
      </c>
      <c r="K9" s="18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0">
        <v>4.0</v>
      </c>
      <c r="B10" s="12" t="s">
        <v>14</v>
      </c>
      <c r="C10" s="12" t="s">
        <v>15</v>
      </c>
      <c r="D10" s="13" t="s">
        <v>47</v>
      </c>
      <c r="E10" s="12" t="s">
        <v>48</v>
      </c>
      <c r="F10" s="13" t="s">
        <v>35</v>
      </c>
      <c r="G10" s="12">
        <v>2025.0</v>
      </c>
      <c r="H10" s="15" t="str">
        <f t="shared" si="1"/>
        <v/>
      </c>
      <c r="I10" s="16"/>
      <c r="J10" s="17"/>
      <c r="K10" s="18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0">
        <v>5.0</v>
      </c>
      <c r="B11" s="12" t="s">
        <v>14</v>
      </c>
      <c r="C11" s="12" t="s">
        <v>15</v>
      </c>
      <c r="D11" s="13" t="s">
        <v>52</v>
      </c>
      <c r="E11" s="12" t="s">
        <v>54</v>
      </c>
      <c r="F11" s="13" t="s">
        <v>56</v>
      </c>
      <c r="G11" s="12">
        <v>2025.0</v>
      </c>
      <c r="H11" s="15" t="str">
        <f t="shared" si="1"/>
        <v>✓</v>
      </c>
      <c r="I11" s="19">
        <v>2025.0</v>
      </c>
      <c r="J11" s="12">
        <v>1.0</v>
      </c>
      <c r="K11" s="18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0">
        <v>6.0</v>
      </c>
      <c r="B12" s="12" t="s">
        <v>14</v>
      </c>
      <c r="C12" s="12" t="s">
        <v>15</v>
      </c>
      <c r="D12" s="13" t="s">
        <v>61</v>
      </c>
      <c r="E12" s="12" t="s">
        <v>62</v>
      </c>
      <c r="F12" s="13" t="s">
        <v>35</v>
      </c>
      <c r="G12" s="12">
        <v>2025.0</v>
      </c>
      <c r="H12" s="15" t="str">
        <f t="shared" si="1"/>
        <v>✓</v>
      </c>
      <c r="I12" s="19">
        <v>2025.0</v>
      </c>
      <c r="J12" s="12">
        <v>1.0</v>
      </c>
      <c r="K12" s="18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0">
        <v>7.0</v>
      </c>
      <c r="B13" s="13" t="s">
        <v>14</v>
      </c>
      <c r="C13" s="13" t="s">
        <v>15</v>
      </c>
      <c r="D13" s="13" t="s">
        <v>72</v>
      </c>
      <c r="E13" s="13" t="s">
        <v>73</v>
      </c>
      <c r="F13" s="13" t="s">
        <v>74</v>
      </c>
      <c r="G13" s="14"/>
      <c r="H13" s="15" t="str">
        <f t="shared" si="1"/>
        <v>✓</v>
      </c>
      <c r="I13" s="19">
        <v>2025.0</v>
      </c>
      <c r="J13" s="14"/>
      <c r="K13" s="18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0">
        <v>8.0</v>
      </c>
      <c r="B14" s="13" t="s">
        <v>14</v>
      </c>
      <c r="C14" s="13" t="s">
        <v>15</v>
      </c>
      <c r="D14" s="13" t="s">
        <v>77</v>
      </c>
      <c r="E14" s="13" t="s">
        <v>78</v>
      </c>
      <c r="F14" s="13" t="s">
        <v>79</v>
      </c>
      <c r="G14" s="14"/>
      <c r="H14" s="15" t="str">
        <f t="shared" si="1"/>
        <v>✓</v>
      </c>
      <c r="I14" s="19">
        <v>2025.0</v>
      </c>
      <c r="J14" s="14"/>
      <c r="K14" s="18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0">
        <v>9.0</v>
      </c>
      <c r="B15" s="13" t="s">
        <v>14</v>
      </c>
      <c r="C15" s="13" t="s">
        <v>15</v>
      </c>
      <c r="D15" s="13" t="s">
        <v>88</v>
      </c>
      <c r="E15" s="13" t="s">
        <v>89</v>
      </c>
      <c r="F15" s="13" t="s">
        <v>91</v>
      </c>
      <c r="G15" s="14"/>
      <c r="H15" s="15" t="str">
        <f t="shared" si="1"/>
        <v>✓</v>
      </c>
      <c r="I15" s="19">
        <v>2025.0</v>
      </c>
      <c r="J15" s="14"/>
      <c r="K15" s="18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0">
        <v>10.0</v>
      </c>
      <c r="B16" s="13" t="s">
        <v>14</v>
      </c>
      <c r="C16" s="13" t="s">
        <v>15</v>
      </c>
      <c r="D16" s="13" t="s">
        <v>96</v>
      </c>
      <c r="E16" s="13" t="s">
        <v>98</v>
      </c>
      <c r="F16" s="13" t="s">
        <v>100</v>
      </c>
      <c r="G16" s="14"/>
      <c r="H16" s="15" t="str">
        <f t="shared" si="1"/>
        <v>✓</v>
      </c>
      <c r="I16" s="19">
        <v>2025.0</v>
      </c>
      <c r="J16" s="14"/>
      <c r="K16" s="18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0">
        <v>11.0</v>
      </c>
      <c r="B17" s="13" t="s">
        <v>14</v>
      </c>
      <c r="C17" s="13" t="s">
        <v>15</v>
      </c>
      <c r="D17" s="13" t="s">
        <v>107</v>
      </c>
      <c r="E17" s="13" t="s">
        <v>108</v>
      </c>
      <c r="F17" s="13" t="s">
        <v>109</v>
      </c>
      <c r="G17" s="14"/>
      <c r="H17" s="15" t="str">
        <f t="shared" si="1"/>
        <v>✓</v>
      </c>
      <c r="I17" s="19">
        <v>2025.0</v>
      </c>
      <c r="J17" s="14"/>
      <c r="K17" s="18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0">
        <v>12.0</v>
      </c>
      <c r="B18" s="13" t="s">
        <v>14</v>
      </c>
      <c r="C18" s="13" t="s">
        <v>15</v>
      </c>
      <c r="D18" s="13" t="s">
        <v>107</v>
      </c>
      <c r="E18" s="13" t="s">
        <v>113</v>
      </c>
      <c r="F18" s="13" t="s">
        <v>114</v>
      </c>
      <c r="G18" s="14"/>
      <c r="H18" s="15" t="str">
        <f t="shared" si="1"/>
        <v>✓</v>
      </c>
      <c r="I18" s="19">
        <v>2025.0</v>
      </c>
      <c r="J18" s="14"/>
      <c r="K18" s="18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0">
        <v>13.0</v>
      </c>
      <c r="B19" s="13" t="s">
        <v>14</v>
      </c>
      <c r="C19" s="13" t="s">
        <v>15</v>
      </c>
      <c r="D19" s="13" t="s">
        <v>117</v>
      </c>
      <c r="E19" s="13" t="s">
        <v>118</v>
      </c>
      <c r="F19" s="13" t="s">
        <v>119</v>
      </c>
      <c r="G19" s="14"/>
      <c r="H19" s="15" t="str">
        <f t="shared" si="1"/>
        <v>✓</v>
      </c>
      <c r="I19" s="19">
        <v>2025.0</v>
      </c>
      <c r="J19" s="14"/>
      <c r="K19" s="18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10">
        <v>14.0</v>
      </c>
      <c r="B20" s="13" t="s">
        <v>14</v>
      </c>
      <c r="C20" s="13" t="s">
        <v>15</v>
      </c>
      <c r="D20" s="13" t="s">
        <v>122</v>
      </c>
      <c r="E20" s="13" t="s">
        <v>124</v>
      </c>
      <c r="F20" s="13" t="s">
        <v>91</v>
      </c>
      <c r="G20" s="14"/>
      <c r="H20" s="15" t="str">
        <f t="shared" si="1"/>
        <v>✓</v>
      </c>
      <c r="I20" s="19">
        <v>2025.0</v>
      </c>
      <c r="J20" s="14"/>
      <c r="K20" s="18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10">
        <v>15.0</v>
      </c>
      <c r="B21" s="13" t="s">
        <v>14</v>
      </c>
      <c r="C21" s="13" t="s">
        <v>15</v>
      </c>
      <c r="D21" s="13" t="s">
        <v>127</v>
      </c>
      <c r="E21" s="13" t="s">
        <v>128</v>
      </c>
      <c r="F21" s="13" t="s">
        <v>130</v>
      </c>
      <c r="G21" s="14"/>
      <c r="H21" s="15" t="str">
        <f t="shared" si="1"/>
        <v>✓</v>
      </c>
      <c r="I21" s="19">
        <v>2025.0</v>
      </c>
      <c r="J21" s="14"/>
      <c r="K21" s="18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10">
        <v>16.0</v>
      </c>
      <c r="B22" s="13" t="s">
        <v>14</v>
      </c>
      <c r="C22" s="13" t="s">
        <v>15</v>
      </c>
      <c r="D22" s="13" t="s">
        <v>137</v>
      </c>
      <c r="E22" s="13" t="s">
        <v>138</v>
      </c>
      <c r="F22" s="13" t="s">
        <v>100</v>
      </c>
      <c r="G22" s="14"/>
      <c r="H22" s="15" t="str">
        <f t="shared" si="1"/>
        <v>✓</v>
      </c>
      <c r="I22" s="19">
        <v>2025.0</v>
      </c>
      <c r="J22" s="14"/>
      <c r="K22" s="18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10">
        <v>17.0</v>
      </c>
      <c r="B23" s="13" t="s">
        <v>14</v>
      </c>
      <c r="C23" s="13" t="s">
        <v>15</v>
      </c>
      <c r="D23" s="13" t="s">
        <v>143</v>
      </c>
      <c r="E23" s="13" t="s">
        <v>144</v>
      </c>
      <c r="F23" s="13" t="s">
        <v>100</v>
      </c>
      <c r="G23" s="14"/>
      <c r="H23" s="15" t="str">
        <f t="shared" si="1"/>
        <v>✓</v>
      </c>
      <c r="I23" s="19">
        <v>2025.0</v>
      </c>
      <c r="J23" s="14"/>
      <c r="K23" s="18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10">
        <v>18.0</v>
      </c>
      <c r="B24" s="13" t="s">
        <v>14</v>
      </c>
      <c r="C24" s="13" t="s">
        <v>15</v>
      </c>
      <c r="D24" s="13" t="s">
        <v>150</v>
      </c>
      <c r="E24" s="13" t="s">
        <v>152</v>
      </c>
      <c r="F24" s="13" t="s">
        <v>156</v>
      </c>
      <c r="G24" s="14"/>
      <c r="H24" s="15" t="str">
        <f t="shared" si="1"/>
        <v>✓</v>
      </c>
      <c r="I24" s="19">
        <v>2025.0</v>
      </c>
      <c r="J24" s="14"/>
      <c r="K24" s="18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</sheetData>
  <mergeCells count="4">
    <mergeCell ref="A1:K1"/>
    <mergeCell ref="A2:K2"/>
    <mergeCell ref="A3:K3"/>
    <mergeCell ref="H6:I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38"/>
    <col customWidth="1" min="3" max="3" width="24.0"/>
    <col customWidth="1" min="4" max="4" width="30.63"/>
    <col customWidth="1" min="5" max="5" width="24.13"/>
    <col customWidth="1" min="6" max="6" width="36.63"/>
    <col customWidth="1" min="8" max="8" width="5.63"/>
    <col customWidth="1" min="10" max="10" width="6.25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5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9"/>
      <c r="K6" s="6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1">
        <v>1.0</v>
      </c>
      <c r="B7" s="12" t="s">
        <v>14</v>
      </c>
      <c r="C7" s="12" t="s">
        <v>16</v>
      </c>
      <c r="D7" s="13" t="s">
        <v>17</v>
      </c>
      <c r="E7" s="12" t="s">
        <v>19</v>
      </c>
      <c r="F7" s="12" t="s">
        <v>22</v>
      </c>
      <c r="G7" s="12">
        <v>2026.0</v>
      </c>
      <c r="H7" s="15" t="str">
        <f t="shared" ref="H7:H26" si="1">IF(I7&lt;&gt;"","✓","")</f>
        <v/>
      </c>
      <c r="I7" s="16"/>
      <c r="J7" s="17"/>
      <c r="K7" s="18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1">
        <v>2.0</v>
      </c>
      <c r="B8" s="12" t="s">
        <v>14</v>
      </c>
      <c r="C8" s="12" t="s">
        <v>16</v>
      </c>
      <c r="D8" s="13" t="s">
        <v>31</v>
      </c>
      <c r="E8" s="12" t="s">
        <v>32</v>
      </c>
      <c r="F8" s="12" t="s">
        <v>22</v>
      </c>
      <c r="G8" s="12">
        <v>2026.0</v>
      </c>
      <c r="H8" s="15" t="str">
        <f t="shared" si="1"/>
        <v/>
      </c>
      <c r="I8" s="16"/>
      <c r="J8" s="17"/>
      <c r="K8" s="18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1">
        <v>3.0</v>
      </c>
      <c r="B9" s="12" t="s">
        <v>14</v>
      </c>
      <c r="C9" s="12" t="s">
        <v>16</v>
      </c>
      <c r="D9" s="13" t="s">
        <v>36</v>
      </c>
      <c r="E9" s="12">
        <v>1.50306050582001E15</v>
      </c>
      <c r="F9" s="12" t="s">
        <v>22</v>
      </c>
      <c r="G9" s="12">
        <v>2026.0</v>
      </c>
      <c r="H9" s="15" t="str">
        <f t="shared" si="1"/>
        <v/>
      </c>
      <c r="I9" s="16"/>
      <c r="J9" s="17"/>
      <c r="K9" s="18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1">
        <v>4.0</v>
      </c>
      <c r="B10" s="12" t="s">
        <v>14</v>
      </c>
      <c r="C10" s="12" t="s">
        <v>16</v>
      </c>
      <c r="D10" s="13" t="s">
        <v>45</v>
      </c>
      <c r="E10" s="12" t="s">
        <v>46</v>
      </c>
      <c r="F10" s="12" t="s">
        <v>22</v>
      </c>
      <c r="G10" s="12">
        <v>2026.0</v>
      </c>
      <c r="H10" s="15" t="str">
        <f t="shared" si="1"/>
        <v/>
      </c>
      <c r="I10" s="16"/>
      <c r="J10" s="17"/>
      <c r="K10" s="18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1">
        <v>5.0</v>
      </c>
      <c r="B11" s="12" t="s">
        <v>14</v>
      </c>
      <c r="C11" s="12" t="s">
        <v>16</v>
      </c>
      <c r="D11" s="13" t="s">
        <v>49</v>
      </c>
      <c r="E11" s="12" t="s">
        <v>50</v>
      </c>
      <c r="F11" s="12" t="s">
        <v>22</v>
      </c>
      <c r="G11" s="12">
        <v>2026.0</v>
      </c>
      <c r="H11" s="15" t="str">
        <f t="shared" si="1"/>
        <v/>
      </c>
      <c r="I11" s="16"/>
      <c r="J11" s="17"/>
      <c r="K11" s="18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1">
        <v>6.0</v>
      </c>
      <c r="B12" s="12" t="s">
        <v>14</v>
      </c>
      <c r="C12" s="12" t="s">
        <v>16</v>
      </c>
      <c r="D12" s="13" t="s">
        <v>59</v>
      </c>
      <c r="E12" s="12" t="s">
        <v>60</v>
      </c>
      <c r="F12" s="12" t="s">
        <v>22</v>
      </c>
      <c r="G12" s="12">
        <v>2026.0</v>
      </c>
      <c r="H12" s="15" t="str">
        <f t="shared" si="1"/>
        <v/>
      </c>
      <c r="I12" s="16"/>
      <c r="J12" s="17"/>
      <c r="K12" s="18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1">
        <v>7.0</v>
      </c>
      <c r="B13" s="12" t="s">
        <v>14</v>
      </c>
      <c r="C13" s="12" t="s">
        <v>16</v>
      </c>
      <c r="D13" s="13" t="s">
        <v>63</v>
      </c>
      <c r="E13" s="12" t="s">
        <v>64</v>
      </c>
      <c r="F13" s="12" t="s">
        <v>22</v>
      </c>
      <c r="G13" s="12">
        <v>2026.0</v>
      </c>
      <c r="H13" s="15" t="str">
        <f t="shared" si="1"/>
        <v/>
      </c>
      <c r="I13" s="16"/>
      <c r="J13" s="17"/>
      <c r="K13" s="18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1">
        <v>8.0</v>
      </c>
      <c r="B14" s="12" t="s">
        <v>14</v>
      </c>
      <c r="C14" s="12" t="s">
        <v>16</v>
      </c>
      <c r="D14" s="13" t="s">
        <v>69</v>
      </c>
      <c r="E14" s="12" t="s">
        <v>70</v>
      </c>
      <c r="F14" s="12" t="s">
        <v>22</v>
      </c>
      <c r="G14" s="12">
        <v>2026.0</v>
      </c>
      <c r="H14" s="15" t="str">
        <f t="shared" si="1"/>
        <v/>
      </c>
      <c r="I14" s="16"/>
      <c r="J14" s="17"/>
      <c r="K14" s="18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1">
        <v>9.0</v>
      </c>
      <c r="B15" s="12" t="s">
        <v>14</v>
      </c>
      <c r="C15" s="12" t="s">
        <v>16</v>
      </c>
      <c r="D15" s="13" t="s">
        <v>80</v>
      </c>
      <c r="E15" s="12" t="s">
        <v>82</v>
      </c>
      <c r="F15" s="12" t="s">
        <v>83</v>
      </c>
      <c r="G15" s="12">
        <v>2026.0</v>
      </c>
      <c r="H15" s="15" t="str">
        <f t="shared" si="1"/>
        <v/>
      </c>
      <c r="I15" s="16"/>
      <c r="J15" s="17"/>
      <c r="K15" s="18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1">
        <v>10.0</v>
      </c>
      <c r="B16" s="12" t="s">
        <v>14</v>
      </c>
      <c r="C16" s="12" t="s">
        <v>16</v>
      </c>
      <c r="D16" s="13" t="s">
        <v>93</v>
      </c>
      <c r="E16" s="12" t="s">
        <v>94</v>
      </c>
      <c r="F16" s="12" t="s">
        <v>83</v>
      </c>
      <c r="G16" s="12">
        <v>2026.0</v>
      </c>
      <c r="H16" s="15" t="str">
        <f t="shared" si="1"/>
        <v/>
      </c>
      <c r="I16" s="16"/>
      <c r="J16" s="17"/>
      <c r="K16" s="18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1">
        <v>11.0</v>
      </c>
      <c r="B17" s="12" t="s">
        <v>14</v>
      </c>
      <c r="C17" s="12" t="s">
        <v>16</v>
      </c>
      <c r="D17" s="13" t="s">
        <v>101</v>
      </c>
      <c r="E17" s="12" t="s">
        <v>102</v>
      </c>
      <c r="F17" s="12" t="s">
        <v>103</v>
      </c>
      <c r="G17" s="12">
        <v>2026.0</v>
      </c>
      <c r="H17" s="15" t="str">
        <f t="shared" si="1"/>
        <v/>
      </c>
      <c r="I17" s="16"/>
      <c r="J17" s="17"/>
      <c r="K17" s="18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1">
        <v>12.0</v>
      </c>
      <c r="B18" s="12" t="s">
        <v>14</v>
      </c>
      <c r="C18" s="12" t="s">
        <v>16</v>
      </c>
      <c r="D18" s="13" t="s">
        <v>110</v>
      </c>
      <c r="E18" s="12">
        <v>1.50306080874001E15</v>
      </c>
      <c r="F18" s="12" t="s">
        <v>103</v>
      </c>
      <c r="G18" s="12">
        <v>2026.0</v>
      </c>
      <c r="H18" s="15" t="str">
        <f t="shared" si="1"/>
        <v/>
      </c>
      <c r="I18" s="16"/>
      <c r="J18" s="17"/>
      <c r="K18" s="18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1">
        <v>13.0</v>
      </c>
      <c r="B19" s="12" t="s">
        <v>14</v>
      </c>
      <c r="C19" s="12" t="s">
        <v>16</v>
      </c>
      <c r="D19" s="13" t="s">
        <v>115</v>
      </c>
      <c r="E19" s="12" t="s">
        <v>116</v>
      </c>
      <c r="F19" s="12" t="s">
        <v>103</v>
      </c>
      <c r="G19" s="12">
        <v>2026.0</v>
      </c>
      <c r="H19" s="15" t="str">
        <f t="shared" si="1"/>
        <v/>
      </c>
      <c r="I19" s="16"/>
      <c r="J19" s="17"/>
      <c r="K19" s="18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11">
        <v>14.0</v>
      </c>
      <c r="B20" s="12" t="s">
        <v>14</v>
      </c>
      <c r="C20" s="12" t="s">
        <v>16</v>
      </c>
      <c r="D20" s="13" t="s">
        <v>120</v>
      </c>
      <c r="E20" s="12" t="s">
        <v>121</v>
      </c>
      <c r="F20" s="12" t="s">
        <v>103</v>
      </c>
      <c r="G20" s="12">
        <v>2026.0</v>
      </c>
      <c r="H20" s="15" t="str">
        <f t="shared" si="1"/>
        <v/>
      </c>
      <c r="I20" s="16"/>
      <c r="J20" s="17"/>
      <c r="K20" s="18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11">
        <v>15.0</v>
      </c>
      <c r="B21" s="12" t="s">
        <v>14</v>
      </c>
      <c r="C21" s="12" t="s">
        <v>16</v>
      </c>
      <c r="D21" s="13" t="s">
        <v>125</v>
      </c>
      <c r="E21" s="12" t="s">
        <v>126</v>
      </c>
      <c r="F21" s="12" t="s">
        <v>103</v>
      </c>
      <c r="G21" s="12">
        <v>2026.0</v>
      </c>
      <c r="H21" s="15" t="str">
        <f t="shared" si="1"/>
        <v/>
      </c>
      <c r="I21" s="16"/>
      <c r="J21" s="17"/>
      <c r="K21" s="18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11">
        <v>16.0</v>
      </c>
      <c r="B22" s="12" t="s">
        <v>14</v>
      </c>
      <c r="C22" s="12" t="s">
        <v>16</v>
      </c>
      <c r="D22" s="13" t="s">
        <v>129</v>
      </c>
      <c r="E22" s="12" t="s">
        <v>131</v>
      </c>
      <c r="F22" s="12" t="s">
        <v>103</v>
      </c>
      <c r="G22" s="12">
        <v>2026.0</v>
      </c>
      <c r="H22" s="15" t="str">
        <f t="shared" si="1"/>
        <v/>
      </c>
      <c r="I22" s="16"/>
      <c r="J22" s="17"/>
      <c r="K22" s="18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11">
        <v>17.0</v>
      </c>
      <c r="B23" s="12" t="s">
        <v>14</v>
      </c>
      <c r="C23" s="12" t="s">
        <v>16</v>
      </c>
      <c r="D23" s="13" t="s">
        <v>135</v>
      </c>
      <c r="E23" s="12" t="s">
        <v>136</v>
      </c>
      <c r="F23" s="12" t="s">
        <v>103</v>
      </c>
      <c r="G23" s="12">
        <v>2026.0</v>
      </c>
      <c r="H23" s="15" t="str">
        <f t="shared" si="1"/>
        <v/>
      </c>
      <c r="I23" s="16"/>
      <c r="J23" s="17"/>
      <c r="K23" s="18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11">
        <v>18.0</v>
      </c>
      <c r="B24" s="13" t="s">
        <v>14</v>
      </c>
      <c r="C24" s="13" t="s">
        <v>16</v>
      </c>
      <c r="D24" s="13" t="s">
        <v>59</v>
      </c>
      <c r="E24" s="13" t="s">
        <v>60</v>
      </c>
      <c r="F24" s="13" t="s">
        <v>142</v>
      </c>
      <c r="G24" s="14"/>
      <c r="H24" s="15" t="str">
        <f t="shared" si="1"/>
        <v>✓</v>
      </c>
      <c r="I24" s="19">
        <v>2025.0</v>
      </c>
      <c r="J24" s="14"/>
      <c r="K24" s="18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11">
        <v>19.0</v>
      </c>
      <c r="B25" s="13" t="s">
        <v>14</v>
      </c>
      <c r="C25" s="13" t="s">
        <v>16</v>
      </c>
      <c r="D25" s="13" t="s">
        <v>148</v>
      </c>
      <c r="E25" s="13" t="s">
        <v>94</v>
      </c>
      <c r="F25" s="13" t="s">
        <v>149</v>
      </c>
      <c r="G25" s="14"/>
      <c r="H25" s="15" t="str">
        <f t="shared" si="1"/>
        <v>✓</v>
      </c>
      <c r="I25" s="19">
        <v>2025.0</v>
      </c>
      <c r="J25" s="14"/>
      <c r="K25" s="18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11">
        <v>20.0</v>
      </c>
      <c r="B26" s="13" t="s">
        <v>14</v>
      </c>
      <c r="C26" s="13" t="s">
        <v>16</v>
      </c>
      <c r="D26" s="13" t="s">
        <v>154</v>
      </c>
      <c r="E26" s="13" t="s">
        <v>82</v>
      </c>
      <c r="F26" s="13" t="s">
        <v>157</v>
      </c>
      <c r="G26" s="14"/>
      <c r="H26" s="15" t="str">
        <f t="shared" si="1"/>
        <v>✓</v>
      </c>
      <c r="I26" s="19">
        <v>2025.0</v>
      </c>
      <c r="J26" s="14"/>
      <c r="K26" s="18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</sheetData>
  <mergeCells count="4">
    <mergeCell ref="A1:K1"/>
    <mergeCell ref="A2:K2"/>
    <mergeCell ref="A3:K3"/>
    <mergeCell ref="H6:I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38"/>
    <col customWidth="1" min="3" max="3" width="24.0"/>
    <col customWidth="1" min="4" max="4" width="30.63"/>
    <col customWidth="1" min="5" max="5" width="24.13"/>
    <col customWidth="1" min="6" max="6" width="36.63"/>
    <col customWidth="1" min="8" max="8" width="5.63"/>
    <col customWidth="1" min="10" max="10" width="6.25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5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9"/>
      <c r="K6" s="6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1">
        <v>1.0</v>
      </c>
      <c r="B7" s="12" t="s">
        <v>14</v>
      </c>
      <c r="C7" s="12" t="s">
        <v>25</v>
      </c>
      <c r="D7" s="13" t="s">
        <v>28</v>
      </c>
      <c r="E7" s="12" t="s">
        <v>29</v>
      </c>
      <c r="F7" s="12" t="s">
        <v>30</v>
      </c>
      <c r="G7" s="12">
        <v>2026.0</v>
      </c>
      <c r="H7" s="15" t="str">
        <f t="shared" ref="H7:H21" si="1">IF(I7&lt;&gt;"","✓","")</f>
        <v/>
      </c>
      <c r="I7" s="16"/>
      <c r="J7" s="17"/>
      <c r="K7" s="18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1">
        <v>2.0</v>
      </c>
      <c r="B8" s="12" t="s">
        <v>14</v>
      </c>
      <c r="C8" s="12" t="s">
        <v>25</v>
      </c>
      <c r="D8" s="13" t="s">
        <v>39</v>
      </c>
      <c r="E8" s="12" t="s">
        <v>40</v>
      </c>
      <c r="F8" s="12" t="s">
        <v>41</v>
      </c>
      <c r="G8" s="12">
        <v>2026.0</v>
      </c>
      <c r="H8" s="15" t="str">
        <f t="shared" si="1"/>
        <v/>
      </c>
      <c r="I8" s="16"/>
      <c r="J8" s="17"/>
      <c r="K8" s="18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1">
        <v>3.0</v>
      </c>
      <c r="B9" s="12" t="s">
        <v>14</v>
      </c>
      <c r="C9" s="12" t="s">
        <v>25</v>
      </c>
      <c r="D9" s="13" t="s">
        <v>51</v>
      </c>
      <c r="E9" s="12" t="s">
        <v>55</v>
      </c>
      <c r="F9" s="12" t="s">
        <v>58</v>
      </c>
      <c r="G9" s="12">
        <v>2026.0</v>
      </c>
      <c r="H9" s="15" t="str">
        <f t="shared" si="1"/>
        <v/>
      </c>
      <c r="I9" s="16"/>
      <c r="J9" s="17"/>
      <c r="K9" s="18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1">
        <v>4.0</v>
      </c>
      <c r="B10" s="12" t="s">
        <v>14</v>
      </c>
      <c r="C10" s="12" t="s">
        <v>25</v>
      </c>
      <c r="D10" s="13" t="s">
        <v>67</v>
      </c>
      <c r="E10" s="12" t="s">
        <v>71</v>
      </c>
      <c r="F10" s="12" t="s">
        <v>30</v>
      </c>
      <c r="G10" s="12">
        <v>2026.0</v>
      </c>
      <c r="H10" s="15" t="str">
        <f t="shared" si="1"/>
        <v/>
      </c>
      <c r="I10" s="16"/>
      <c r="J10" s="17"/>
      <c r="K10" s="18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1">
        <v>5.0</v>
      </c>
      <c r="B11" s="12" t="s">
        <v>14</v>
      </c>
      <c r="C11" s="12" t="s">
        <v>25</v>
      </c>
      <c r="D11" s="13" t="s">
        <v>81</v>
      </c>
      <c r="E11" s="12" t="s">
        <v>84</v>
      </c>
      <c r="F11" s="12" t="s">
        <v>85</v>
      </c>
      <c r="G11" s="12">
        <v>2026.0</v>
      </c>
      <c r="H11" s="15" t="str">
        <f t="shared" si="1"/>
        <v/>
      </c>
      <c r="I11" s="16"/>
      <c r="J11" s="17"/>
      <c r="K11" s="18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1">
        <v>6.0</v>
      </c>
      <c r="B12" s="12" t="s">
        <v>14</v>
      </c>
      <c r="C12" s="12" t="s">
        <v>25</v>
      </c>
      <c r="D12" s="13" t="s">
        <v>95</v>
      </c>
      <c r="E12" s="12" t="s">
        <v>97</v>
      </c>
      <c r="F12" s="12" t="s">
        <v>99</v>
      </c>
      <c r="G12" s="12">
        <v>2026.0</v>
      </c>
      <c r="H12" s="15" t="str">
        <f t="shared" si="1"/>
        <v/>
      </c>
      <c r="I12" s="16"/>
      <c r="J12" s="17"/>
      <c r="K12" s="18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1">
        <v>7.0</v>
      </c>
      <c r="B13" s="12" t="s">
        <v>14</v>
      </c>
      <c r="C13" s="12" t="s">
        <v>25</v>
      </c>
      <c r="D13" s="13" t="s">
        <v>111</v>
      </c>
      <c r="E13" s="12" t="s">
        <v>112</v>
      </c>
      <c r="F13" s="12" t="s">
        <v>41</v>
      </c>
      <c r="G13" s="12">
        <v>2026.0</v>
      </c>
      <c r="H13" s="15" t="str">
        <f t="shared" si="1"/>
        <v/>
      </c>
      <c r="I13" s="16"/>
      <c r="J13" s="17"/>
      <c r="K13" s="18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1">
        <v>8.0</v>
      </c>
      <c r="B14" s="13" t="s">
        <v>14</v>
      </c>
      <c r="C14" s="13" t="s">
        <v>25</v>
      </c>
      <c r="D14" s="13" t="s">
        <v>81</v>
      </c>
      <c r="E14" s="13" t="s">
        <v>84</v>
      </c>
      <c r="F14" s="13" t="s">
        <v>123</v>
      </c>
      <c r="G14" s="14"/>
      <c r="H14" s="15" t="str">
        <f t="shared" si="1"/>
        <v>✓</v>
      </c>
      <c r="I14" s="19">
        <v>2025.0</v>
      </c>
      <c r="J14" s="14"/>
      <c r="K14" s="18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1">
        <v>9.0</v>
      </c>
      <c r="B15" s="13" t="s">
        <v>14</v>
      </c>
      <c r="C15" s="13" t="s">
        <v>25</v>
      </c>
      <c r="D15" s="13" t="s">
        <v>132</v>
      </c>
      <c r="E15" s="13" t="s">
        <v>133</v>
      </c>
      <c r="F15" s="13" t="s">
        <v>134</v>
      </c>
      <c r="G15" s="14"/>
      <c r="H15" s="15" t="str">
        <f t="shared" si="1"/>
        <v>✓</v>
      </c>
      <c r="I15" s="19">
        <v>2025.0</v>
      </c>
      <c r="J15" s="14"/>
      <c r="K15" s="18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1">
        <v>10.0</v>
      </c>
      <c r="B16" s="13" t="s">
        <v>14</v>
      </c>
      <c r="C16" s="13" t="s">
        <v>25</v>
      </c>
      <c r="D16" s="13" t="s">
        <v>139</v>
      </c>
      <c r="E16" s="13" t="s">
        <v>140</v>
      </c>
      <c r="F16" s="13" t="s">
        <v>141</v>
      </c>
      <c r="G16" s="14"/>
      <c r="H16" s="15" t="str">
        <f t="shared" si="1"/>
        <v>✓</v>
      </c>
      <c r="I16" s="19">
        <v>2025.0</v>
      </c>
      <c r="J16" s="14"/>
      <c r="K16" s="18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1">
        <v>11.0</v>
      </c>
      <c r="B17" s="13" t="s">
        <v>14</v>
      </c>
      <c r="C17" s="13" t="s">
        <v>25</v>
      </c>
      <c r="D17" s="13" t="s">
        <v>145</v>
      </c>
      <c r="E17" s="13" t="s">
        <v>146</v>
      </c>
      <c r="F17" s="13" t="s">
        <v>147</v>
      </c>
      <c r="G17" s="14"/>
      <c r="H17" s="15" t="str">
        <f t="shared" si="1"/>
        <v>✓</v>
      </c>
      <c r="I17" s="19">
        <v>2025.0</v>
      </c>
      <c r="J17" s="14"/>
      <c r="K17" s="18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1">
        <v>12.0</v>
      </c>
      <c r="B18" s="13" t="s">
        <v>14</v>
      </c>
      <c r="C18" s="13" t="s">
        <v>25</v>
      </c>
      <c r="D18" s="13" t="s">
        <v>151</v>
      </c>
      <c r="E18" s="13" t="s">
        <v>153</v>
      </c>
      <c r="F18" s="13" t="s">
        <v>155</v>
      </c>
      <c r="G18" s="14"/>
      <c r="H18" s="15" t="str">
        <f t="shared" si="1"/>
        <v>✓</v>
      </c>
      <c r="I18" s="19">
        <v>2025.0</v>
      </c>
      <c r="J18" s="14"/>
      <c r="K18" s="18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1">
        <v>13.0</v>
      </c>
      <c r="B19" s="13" t="s">
        <v>14</v>
      </c>
      <c r="C19" s="13" t="s">
        <v>25</v>
      </c>
      <c r="D19" s="13" t="s">
        <v>39</v>
      </c>
      <c r="E19" s="13" t="s">
        <v>40</v>
      </c>
      <c r="F19" s="13" t="s">
        <v>158</v>
      </c>
      <c r="G19" s="14"/>
      <c r="H19" s="15" t="str">
        <f t="shared" si="1"/>
        <v>✓</v>
      </c>
      <c r="I19" s="19">
        <v>2025.0</v>
      </c>
      <c r="J19" s="14"/>
      <c r="K19" s="18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11">
        <v>14.0</v>
      </c>
      <c r="B20" s="13" t="s">
        <v>14</v>
      </c>
      <c r="C20" s="13" t="s">
        <v>25</v>
      </c>
      <c r="D20" s="13" t="s">
        <v>28</v>
      </c>
      <c r="E20" s="13" t="s">
        <v>29</v>
      </c>
      <c r="F20" s="13" t="s">
        <v>155</v>
      </c>
      <c r="G20" s="14"/>
      <c r="H20" s="15" t="str">
        <f t="shared" si="1"/>
        <v>✓</v>
      </c>
      <c r="I20" s="19">
        <v>2025.0</v>
      </c>
      <c r="J20" s="14"/>
      <c r="K20" s="18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11">
        <v>15.0</v>
      </c>
      <c r="B21" s="13" t="s">
        <v>14</v>
      </c>
      <c r="C21" s="13" t="s">
        <v>25</v>
      </c>
      <c r="D21" s="13" t="s">
        <v>159</v>
      </c>
      <c r="E21" s="13" t="s">
        <v>160</v>
      </c>
      <c r="F21" s="13" t="s">
        <v>141</v>
      </c>
      <c r="G21" s="14"/>
      <c r="H21" s="15" t="str">
        <f t="shared" si="1"/>
        <v>✓</v>
      </c>
      <c r="I21" s="19">
        <v>2025.0</v>
      </c>
      <c r="J21" s="14"/>
      <c r="K21" s="18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</sheetData>
  <mergeCells count="4">
    <mergeCell ref="A1:K1"/>
    <mergeCell ref="A2:K2"/>
    <mergeCell ref="A3:K3"/>
    <mergeCell ref="H6:I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38"/>
    <col customWidth="1" min="3" max="3" width="24.0"/>
    <col customWidth="1" min="4" max="4" width="34.75"/>
    <col customWidth="1" min="5" max="5" width="24.13"/>
    <col customWidth="1" min="6" max="6" width="36.63"/>
    <col customWidth="1" min="8" max="8" width="5.63"/>
    <col customWidth="1" min="10" max="10" width="6.25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5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9"/>
      <c r="K6" s="6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1">
        <v>1.0</v>
      </c>
      <c r="B7" s="13" t="s">
        <v>14</v>
      </c>
      <c r="C7" s="13" t="s">
        <v>23</v>
      </c>
      <c r="D7" s="13" t="s">
        <v>24</v>
      </c>
      <c r="E7" s="13" t="s">
        <v>26</v>
      </c>
      <c r="F7" s="13" t="s">
        <v>27</v>
      </c>
      <c r="G7" s="14"/>
      <c r="H7" s="15" t="str">
        <f t="shared" ref="H7:H13" si="1">IF(I7&lt;&gt;"","✓","")</f>
        <v>✓</v>
      </c>
      <c r="I7" s="19">
        <v>2025.0</v>
      </c>
      <c r="J7" s="14"/>
      <c r="K7" s="18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1">
        <v>2.0</v>
      </c>
      <c r="B8" s="13" t="s">
        <v>14</v>
      </c>
      <c r="C8" s="13" t="s">
        <v>23</v>
      </c>
      <c r="D8" s="13" t="s">
        <v>42</v>
      </c>
      <c r="E8" s="13" t="s">
        <v>43</v>
      </c>
      <c r="F8" s="13" t="s">
        <v>44</v>
      </c>
      <c r="G8" s="14"/>
      <c r="H8" s="15" t="str">
        <f t="shared" si="1"/>
        <v>✓</v>
      </c>
      <c r="I8" s="19">
        <v>2025.0</v>
      </c>
      <c r="J8" s="14"/>
      <c r="K8" s="18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1">
        <v>3.0</v>
      </c>
      <c r="B9" s="13" t="s">
        <v>14</v>
      </c>
      <c r="C9" s="13" t="s">
        <v>23</v>
      </c>
      <c r="D9" s="13" t="s">
        <v>53</v>
      </c>
      <c r="E9" s="13" t="s">
        <v>57</v>
      </c>
      <c r="F9" s="13" t="s">
        <v>27</v>
      </c>
      <c r="G9" s="14"/>
      <c r="H9" s="15" t="str">
        <f t="shared" si="1"/>
        <v>✓</v>
      </c>
      <c r="I9" s="19">
        <v>2025.0</v>
      </c>
      <c r="J9" s="14"/>
      <c r="K9" s="18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1">
        <v>4.0</v>
      </c>
      <c r="B10" s="13" t="s">
        <v>14</v>
      </c>
      <c r="C10" s="13" t="s">
        <v>23</v>
      </c>
      <c r="D10" s="13" t="s">
        <v>65</v>
      </c>
      <c r="E10" s="13" t="s">
        <v>66</v>
      </c>
      <c r="F10" s="13" t="s">
        <v>68</v>
      </c>
      <c r="G10" s="14"/>
      <c r="H10" s="15" t="str">
        <f t="shared" si="1"/>
        <v>✓</v>
      </c>
      <c r="I10" s="19">
        <v>2025.0</v>
      </c>
      <c r="J10" s="14"/>
      <c r="K10" s="18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1">
        <v>5.0</v>
      </c>
      <c r="B11" s="13" t="s">
        <v>14</v>
      </c>
      <c r="C11" s="13" t="s">
        <v>23</v>
      </c>
      <c r="D11" s="13" t="s">
        <v>75</v>
      </c>
      <c r="E11" s="13" t="s">
        <v>76</v>
      </c>
      <c r="F11" s="13" t="s">
        <v>44</v>
      </c>
      <c r="G11" s="14"/>
      <c r="H11" s="15" t="str">
        <f t="shared" si="1"/>
        <v>✓</v>
      </c>
      <c r="I11" s="19">
        <v>2025.0</v>
      </c>
      <c r="J11" s="14"/>
      <c r="K11" s="18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1">
        <v>6.0</v>
      </c>
      <c r="B12" s="13" t="s">
        <v>14</v>
      </c>
      <c r="C12" s="13" t="s">
        <v>86</v>
      </c>
      <c r="D12" s="13" t="s">
        <v>87</v>
      </c>
      <c r="E12" s="13" t="s">
        <v>90</v>
      </c>
      <c r="F12" s="13" t="s">
        <v>92</v>
      </c>
      <c r="G12" s="14"/>
      <c r="H12" s="15" t="str">
        <f t="shared" si="1"/>
        <v>✓</v>
      </c>
      <c r="I12" s="19">
        <v>2025.0</v>
      </c>
      <c r="J12" s="14"/>
      <c r="K12" s="18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1">
        <v>7.0</v>
      </c>
      <c r="B13" s="13" t="s">
        <v>14</v>
      </c>
      <c r="C13" s="13" t="s">
        <v>23</v>
      </c>
      <c r="D13" s="13" t="s">
        <v>104</v>
      </c>
      <c r="E13" s="13" t="s">
        <v>105</v>
      </c>
      <c r="F13" s="13" t="s">
        <v>106</v>
      </c>
      <c r="G13" s="14"/>
      <c r="H13" s="15" t="str">
        <f t="shared" si="1"/>
        <v>✓</v>
      </c>
      <c r="I13" s="19">
        <v>2025.0</v>
      </c>
      <c r="J13" s="14"/>
      <c r="K13" s="18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</sheetData>
  <mergeCells count="4">
    <mergeCell ref="A1:K1"/>
    <mergeCell ref="A2:K2"/>
    <mergeCell ref="A3:K3"/>
    <mergeCell ref="H6:I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38"/>
    <col customWidth="1" min="3" max="3" width="24.0"/>
    <col customWidth="1" min="4" max="4" width="30.63"/>
    <col customWidth="1" min="5" max="5" width="24.13"/>
    <col customWidth="1" min="6" max="6" width="36.63"/>
    <col customWidth="1" min="8" max="8" width="5.63"/>
    <col customWidth="1" min="10" max="10" width="6.25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5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9"/>
      <c r="K6" s="6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1">
        <v>1.0</v>
      </c>
      <c r="B7" s="13" t="s">
        <v>14</v>
      </c>
      <c r="C7" s="13" t="s">
        <v>161</v>
      </c>
      <c r="D7" s="13" t="s">
        <v>162</v>
      </c>
      <c r="E7" s="13" t="s">
        <v>163</v>
      </c>
      <c r="F7" s="13" t="s">
        <v>164</v>
      </c>
      <c r="G7" s="14"/>
      <c r="H7" s="15" t="str">
        <f t="shared" ref="H7:H14" si="1">IF(I7&lt;&gt;"","✓","")</f>
        <v>✓</v>
      </c>
      <c r="I7" s="19">
        <v>2025.0</v>
      </c>
      <c r="J7" s="14"/>
      <c r="K7" s="18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1">
        <v>2.0</v>
      </c>
      <c r="B8" s="13" t="s">
        <v>14</v>
      </c>
      <c r="C8" s="13" t="s">
        <v>161</v>
      </c>
      <c r="D8" s="13" t="s">
        <v>165</v>
      </c>
      <c r="E8" s="13" t="s">
        <v>166</v>
      </c>
      <c r="F8" s="13" t="s">
        <v>161</v>
      </c>
      <c r="G8" s="14"/>
      <c r="H8" s="15" t="str">
        <f t="shared" si="1"/>
        <v>✓</v>
      </c>
      <c r="I8" s="19">
        <v>2025.0</v>
      </c>
      <c r="J8" s="14"/>
      <c r="K8" s="18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1">
        <v>3.0</v>
      </c>
      <c r="B9" s="13" t="s">
        <v>14</v>
      </c>
      <c r="C9" s="13" t="s">
        <v>161</v>
      </c>
      <c r="D9" s="13" t="s">
        <v>167</v>
      </c>
      <c r="E9" s="13" t="s">
        <v>168</v>
      </c>
      <c r="F9" s="13" t="s">
        <v>161</v>
      </c>
      <c r="G9" s="14"/>
      <c r="H9" s="15" t="str">
        <f t="shared" si="1"/>
        <v>✓</v>
      </c>
      <c r="I9" s="19">
        <v>2025.0</v>
      </c>
      <c r="J9" s="14"/>
      <c r="K9" s="18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1">
        <v>4.0</v>
      </c>
      <c r="B10" s="13" t="s">
        <v>14</v>
      </c>
      <c r="C10" s="13" t="s">
        <v>161</v>
      </c>
      <c r="D10" s="13" t="s">
        <v>169</v>
      </c>
      <c r="E10" s="13" t="s">
        <v>170</v>
      </c>
      <c r="F10" s="13" t="s">
        <v>171</v>
      </c>
      <c r="G10" s="14"/>
      <c r="H10" s="15" t="str">
        <f t="shared" si="1"/>
        <v>✓</v>
      </c>
      <c r="I10" s="19">
        <v>2025.0</v>
      </c>
      <c r="J10" s="14"/>
      <c r="K10" s="18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1">
        <v>5.0</v>
      </c>
      <c r="B11" s="13" t="s">
        <v>14</v>
      </c>
      <c r="C11" s="13" t="s">
        <v>161</v>
      </c>
      <c r="D11" s="13" t="s">
        <v>172</v>
      </c>
      <c r="E11" s="13" t="s">
        <v>173</v>
      </c>
      <c r="F11" s="13" t="s">
        <v>161</v>
      </c>
      <c r="G11" s="14"/>
      <c r="H11" s="15" t="str">
        <f t="shared" si="1"/>
        <v>✓</v>
      </c>
      <c r="I11" s="19">
        <v>2025.0</v>
      </c>
      <c r="J11" s="14"/>
      <c r="K11" s="18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1">
        <v>6.0</v>
      </c>
      <c r="B12" s="13" t="s">
        <v>14</v>
      </c>
      <c r="C12" s="13" t="s">
        <v>161</v>
      </c>
      <c r="D12" s="13" t="s">
        <v>174</v>
      </c>
      <c r="E12" s="13" t="s">
        <v>175</v>
      </c>
      <c r="F12" s="13" t="s">
        <v>161</v>
      </c>
      <c r="G12" s="14"/>
      <c r="H12" s="15" t="str">
        <f t="shared" si="1"/>
        <v>✓</v>
      </c>
      <c r="I12" s="19">
        <v>2025.0</v>
      </c>
      <c r="J12" s="14"/>
      <c r="K12" s="18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1">
        <v>7.0</v>
      </c>
      <c r="B13" s="13" t="s">
        <v>14</v>
      </c>
      <c r="C13" s="13" t="s">
        <v>161</v>
      </c>
      <c r="D13" s="13" t="s">
        <v>176</v>
      </c>
      <c r="E13" s="13" t="s">
        <v>177</v>
      </c>
      <c r="F13" s="13" t="s">
        <v>161</v>
      </c>
      <c r="G13" s="14"/>
      <c r="H13" s="15" t="str">
        <f t="shared" si="1"/>
        <v>✓</v>
      </c>
      <c r="I13" s="19">
        <v>2025.0</v>
      </c>
      <c r="J13" s="14"/>
      <c r="K13" s="18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1">
        <v>8.0</v>
      </c>
      <c r="B14" s="13" t="s">
        <v>14</v>
      </c>
      <c r="C14" s="13" t="s">
        <v>161</v>
      </c>
      <c r="D14" s="13" t="s">
        <v>178</v>
      </c>
      <c r="E14" s="13" t="s">
        <v>179</v>
      </c>
      <c r="F14" s="13" t="s">
        <v>180</v>
      </c>
      <c r="G14" s="14"/>
      <c r="H14" s="15" t="str">
        <f t="shared" si="1"/>
        <v>✓</v>
      </c>
      <c r="I14" s="19">
        <v>2025.0</v>
      </c>
      <c r="J14" s="14"/>
      <c r="K14" s="18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</sheetData>
  <mergeCells count="4">
    <mergeCell ref="A1:K1"/>
    <mergeCell ref="A2:K2"/>
    <mergeCell ref="A3:K3"/>
    <mergeCell ref="H6:I6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38"/>
    <col customWidth="1" min="3" max="3" width="24.0"/>
    <col customWidth="1" min="4" max="4" width="30.63"/>
    <col customWidth="1" min="5" max="5" width="24.13"/>
    <col customWidth="1" min="6" max="6" width="36.63"/>
    <col customWidth="1" min="8" max="8" width="5.63"/>
    <col customWidth="1" min="10" max="10" width="6.25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5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9"/>
      <c r="K6" s="6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1">
        <v>1.0</v>
      </c>
      <c r="B7" s="13" t="s">
        <v>14</v>
      </c>
      <c r="C7" s="13" t="s">
        <v>181</v>
      </c>
      <c r="D7" s="13" t="s">
        <v>182</v>
      </c>
      <c r="E7" s="13" t="s">
        <v>183</v>
      </c>
      <c r="F7" s="13" t="s">
        <v>184</v>
      </c>
      <c r="G7" s="14"/>
      <c r="H7" s="15" t="str">
        <f t="shared" ref="H7:H20" si="1">IF(I7&lt;&gt;"","✓","")</f>
        <v>✓</v>
      </c>
      <c r="I7" s="19">
        <v>2025.0</v>
      </c>
      <c r="J7" s="14"/>
      <c r="K7" s="18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1">
        <v>2.0</v>
      </c>
      <c r="B8" s="13" t="s">
        <v>14</v>
      </c>
      <c r="C8" s="13" t="s">
        <v>181</v>
      </c>
      <c r="D8" s="13" t="s">
        <v>185</v>
      </c>
      <c r="E8" s="13" t="s">
        <v>186</v>
      </c>
      <c r="F8" s="13" t="s">
        <v>187</v>
      </c>
      <c r="G8" s="14"/>
      <c r="H8" s="15" t="str">
        <f t="shared" si="1"/>
        <v>✓</v>
      </c>
      <c r="I8" s="19">
        <v>2025.0</v>
      </c>
      <c r="J8" s="14"/>
      <c r="K8" s="18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1">
        <v>3.0</v>
      </c>
      <c r="B9" s="13" t="s">
        <v>14</v>
      </c>
      <c r="C9" s="13" t="s">
        <v>181</v>
      </c>
      <c r="D9" s="13" t="s">
        <v>188</v>
      </c>
      <c r="E9" s="13" t="s">
        <v>189</v>
      </c>
      <c r="F9" s="13" t="s">
        <v>190</v>
      </c>
      <c r="G9" s="14"/>
      <c r="H9" s="15" t="str">
        <f t="shared" si="1"/>
        <v>✓</v>
      </c>
      <c r="I9" s="19">
        <v>2025.0</v>
      </c>
      <c r="J9" s="14"/>
      <c r="K9" s="18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1">
        <v>4.0</v>
      </c>
      <c r="B10" s="13" t="s">
        <v>14</v>
      </c>
      <c r="C10" s="13" t="s">
        <v>181</v>
      </c>
      <c r="D10" s="13" t="s">
        <v>191</v>
      </c>
      <c r="E10" s="13" t="s">
        <v>192</v>
      </c>
      <c r="F10" s="13" t="s">
        <v>193</v>
      </c>
      <c r="G10" s="14"/>
      <c r="H10" s="15" t="str">
        <f t="shared" si="1"/>
        <v>✓</v>
      </c>
      <c r="I10" s="19">
        <v>2025.0</v>
      </c>
      <c r="J10" s="14"/>
      <c r="K10" s="18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1">
        <v>5.0</v>
      </c>
      <c r="B11" s="13" t="s">
        <v>14</v>
      </c>
      <c r="C11" s="13" t="s">
        <v>181</v>
      </c>
      <c r="D11" s="13" t="s">
        <v>194</v>
      </c>
      <c r="E11" s="13" t="s">
        <v>195</v>
      </c>
      <c r="F11" s="13" t="s">
        <v>181</v>
      </c>
      <c r="G11" s="14"/>
      <c r="H11" s="15" t="str">
        <f t="shared" si="1"/>
        <v>✓</v>
      </c>
      <c r="I11" s="19">
        <v>2025.0</v>
      </c>
      <c r="J11" s="14"/>
      <c r="K11" s="18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1">
        <v>6.0</v>
      </c>
      <c r="B12" s="13" t="s">
        <v>14</v>
      </c>
      <c r="C12" s="13" t="s">
        <v>181</v>
      </c>
      <c r="D12" s="13" t="s">
        <v>196</v>
      </c>
      <c r="E12" s="13" t="s">
        <v>197</v>
      </c>
      <c r="F12" s="13" t="s">
        <v>198</v>
      </c>
      <c r="G12" s="14"/>
      <c r="H12" s="15" t="str">
        <f t="shared" si="1"/>
        <v>✓</v>
      </c>
      <c r="I12" s="19">
        <v>2025.0</v>
      </c>
      <c r="J12" s="14"/>
      <c r="K12" s="18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1">
        <v>7.0</v>
      </c>
      <c r="B13" s="13" t="s">
        <v>14</v>
      </c>
      <c r="C13" s="13" t="s">
        <v>181</v>
      </c>
      <c r="D13" s="13" t="s">
        <v>199</v>
      </c>
      <c r="E13" s="13" t="s">
        <v>200</v>
      </c>
      <c r="F13" s="13" t="s">
        <v>201</v>
      </c>
      <c r="G13" s="14"/>
      <c r="H13" s="15" t="str">
        <f t="shared" si="1"/>
        <v>✓</v>
      </c>
      <c r="I13" s="19">
        <v>2025.0</v>
      </c>
      <c r="J13" s="14"/>
      <c r="K13" s="18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1">
        <v>8.0</v>
      </c>
      <c r="B14" s="13" t="s">
        <v>14</v>
      </c>
      <c r="C14" s="13" t="s">
        <v>181</v>
      </c>
      <c r="D14" s="13" t="s">
        <v>206</v>
      </c>
      <c r="E14" s="13" t="s">
        <v>207</v>
      </c>
      <c r="F14" s="13" t="s">
        <v>208</v>
      </c>
      <c r="G14" s="14"/>
      <c r="H14" s="15" t="str">
        <f t="shared" si="1"/>
        <v>✓</v>
      </c>
      <c r="I14" s="19">
        <v>2025.0</v>
      </c>
      <c r="J14" s="14"/>
      <c r="K14" s="18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1">
        <v>9.0</v>
      </c>
      <c r="B15" s="13" t="s">
        <v>14</v>
      </c>
      <c r="C15" s="13" t="s">
        <v>181</v>
      </c>
      <c r="D15" s="13" t="s">
        <v>209</v>
      </c>
      <c r="E15" s="13" t="s">
        <v>210</v>
      </c>
      <c r="F15" s="13" t="s">
        <v>211</v>
      </c>
      <c r="G15" s="14"/>
      <c r="H15" s="15" t="str">
        <f t="shared" si="1"/>
        <v>✓</v>
      </c>
      <c r="I15" s="19">
        <v>2025.0</v>
      </c>
      <c r="J15" s="14"/>
      <c r="K15" s="18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1">
        <v>10.0</v>
      </c>
      <c r="B16" s="13" t="s">
        <v>14</v>
      </c>
      <c r="C16" s="13" t="s">
        <v>181</v>
      </c>
      <c r="D16" s="13" t="s">
        <v>212</v>
      </c>
      <c r="E16" s="13" t="s">
        <v>213</v>
      </c>
      <c r="F16" s="13" t="s">
        <v>208</v>
      </c>
      <c r="G16" s="14"/>
      <c r="H16" s="15" t="str">
        <f t="shared" si="1"/>
        <v>✓</v>
      </c>
      <c r="I16" s="19">
        <v>2025.0</v>
      </c>
      <c r="J16" s="14"/>
      <c r="K16" s="18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1">
        <v>11.0</v>
      </c>
      <c r="B17" s="13" t="s">
        <v>14</v>
      </c>
      <c r="C17" s="13" t="s">
        <v>181</v>
      </c>
      <c r="D17" s="13" t="s">
        <v>214</v>
      </c>
      <c r="E17" s="13" t="s">
        <v>215</v>
      </c>
      <c r="F17" s="13" t="s">
        <v>216</v>
      </c>
      <c r="G17" s="14"/>
      <c r="H17" s="15" t="str">
        <f t="shared" si="1"/>
        <v>✓</v>
      </c>
      <c r="I17" s="19">
        <v>2025.0</v>
      </c>
      <c r="J17" s="14"/>
      <c r="K17" s="18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1">
        <v>12.0</v>
      </c>
      <c r="B18" s="13" t="s">
        <v>14</v>
      </c>
      <c r="C18" s="13" t="s">
        <v>181</v>
      </c>
      <c r="D18" s="13" t="s">
        <v>220</v>
      </c>
      <c r="E18" s="13" t="s">
        <v>221</v>
      </c>
      <c r="F18" s="13" t="s">
        <v>222</v>
      </c>
      <c r="G18" s="14"/>
      <c r="H18" s="15" t="str">
        <f t="shared" si="1"/>
        <v>✓</v>
      </c>
      <c r="I18" s="19">
        <v>2025.0</v>
      </c>
      <c r="J18" s="14"/>
      <c r="K18" s="18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1">
        <v>13.0</v>
      </c>
      <c r="B19" s="13" t="s">
        <v>14</v>
      </c>
      <c r="C19" s="13" t="s">
        <v>181</v>
      </c>
      <c r="D19" s="13" t="s">
        <v>226</v>
      </c>
      <c r="E19" s="13" t="s">
        <v>227</v>
      </c>
      <c r="F19" s="13" t="s">
        <v>193</v>
      </c>
      <c r="G19" s="14"/>
      <c r="H19" s="15" t="str">
        <f t="shared" si="1"/>
        <v>✓</v>
      </c>
      <c r="I19" s="19">
        <v>2025.0</v>
      </c>
      <c r="J19" s="14"/>
      <c r="K19" s="18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11">
        <v>14.0</v>
      </c>
      <c r="B20" s="13" t="s">
        <v>14</v>
      </c>
      <c r="C20" s="13" t="s">
        <v>181</v>
      </c>
      <c r="D20" s="13" t="s">
        <v>230</v>
      </c>
      <c r="E20" s="13" t="s">
        <v>231</v>
      </c>
      <c r="F20" s="13" t="s">
        <v>193</v>
      </c>
      <c r="G20" s="14"/>
      <c r="H20" s="15" t="str">
        <f t="shared" si="1"/>
        <v>✓</v>
      </c>
      <c r="I20" s="19">
        <v>2025.0</v>
      </c>
      <c r="J20" s="14"/>
      <c r="K20" s="18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</sheetData>
  <mergeCells count="4">
    <mergeCell ref="A1:K1"/>
    <mergeCell ref="A2:K2"/>
    <mergeCell ref="A3:K3"/>
    <mergeCell ref="H6:I6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38"/>
    <col customWidth="1" min="3" max="3" width="24.0"/>
    <col customWidth="1" min="4" max="4" width="30.63"/>
    <col customWidth="1" min="5" max="5" width="24.13"/>
    <col customWidth="1" min="6" max="6" width="36.63"/>
    <col customWidth="1" min="8" max="8" width="5.63"/>
    <col customWidth="1" min="10" max="10" width="6.25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5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9"/>
      <c r="K6" s="6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1">
        <v>1.0</v>
      </c>
      <c r="B7" s="13" t="s">
        <v>14</v>
      </c>
      <c r="C7" s="13" t="s">
        <v>202</v>
      </c>
      <c r="D7" s="13" t="s">
        <v>203</v>
      </c>
      <c r="E7" s="13" t="s">
        <v>204</v>
      </c>
      <c r="F7" s="13" t="s">
        <v>205</v>
      </c>
      <c r="G7" s="14"/>
      <c r="H7" s="15" t="str">
        <f t="shared" ref="H7:H10" si="1">IF(I7&lt;&gt;"","✓","")</f>
        <v>✓</v>
      </c>
      <c r="I7" s="19">
        <v>2025.0</v>
      </c>
      <c r="J7" s="14"/>
      <c r="K7" s="18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1">
        <v>2.0</v>
      </c>
      <c r="B8" s="13" t="s">
        <v>14</v>
      </c>
      <c r="C8" s="13" t="s">
        <v>202</v>
      </c>
      <c r="D8" s="13" t="s">
        <v>217</v>
      </c>
      <c r="E8" s="13" t="s">
        <v>218</v>
      </c>
      <c r="F8" s="13" t="s">
        <v>219</v>
      </c>
      <c r="G8" s="14"/>
      <c r="H8" s="15" t="str">
        <f t="shared" si="1"/>
        <v>✓</v>
      </c>
      <c r="I8" s="19">
        <v>2025.0</v>
      </c>
      <c r="J8" s="14"/>
      <c r="K8" s="18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1">
        <v>3.0</v>
      </c>
      <c r="B9" s="13" t="s">
        <v>14</v>
      </c>
      <c r="C9" s="13" t="s">
        <v>202</v>
      </c>
      <c r="D9" s="13" t="s">
        <v>223</v>
      </c>
      <c r="E9" s="13" t="s">
        <v>224</v>
      </c>
      <c r="F9" s="13" t="s">
        <v>225</v>
      </c>
      <c r="G9" s="14"/>
      <c r="H9" s="15" t="str">
        <f t="shared" si="1"/>
        <v>✓</v>
      </c>
      <c r="I9" s="19">
        <v>2025.0</v>
      </c>
      <c r="J9" s="14"/>
      <c r="K9" s="18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1">
        <v>4.0</v>
      </c>
      <c r="B10" s="13" t="s">
        <v>14</v>
      </c>
      <c r="C10" s="13" t="s">
        <v>202</v>
      </c>
      <c r="D10" s="13" t="s">
        <v>228</v>
      </c>
      <c r="E10" s="13" t="s">
        <v>229</v>
      </c>
      <c r="F10" s="13" t="s">
        <v>225</v>
      </c>
      <c r="G10" s="14"/>
      <c r="H10" s="15" t="str">
        <f t="shared" si="1"/>
        <v>✓</v>
      </c>
      <c r="I10" s="19">
        <v>2025.0</v>
      </c>
      <c r="J10" s="14"/>
      <c r="K10" s="18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</sheetData>
  <mergeCells count="4">
    <mergeCell ref="A1:K1"/>
    <mergeCell ref="A2:K2"/>
    <mergeCell ref="A3:K3"/>
    <mergeCell ref="H6:I6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38"/>
    <col customWidth="1" min="3" max="3" width="24.0"/>
    <col customWidth="1" min="4" max="4" width="30.63"/>
    <col customWidth="1" min="5" max="5" width="24.13"/>
    <col customWidth="1" min="6" max="6" width="36.63"/>
    <col customWidth="1" min="8" max="8" width="5.63"/>
    <col customWidth="1" min="10" max="10" width="6.25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5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9"/>
      <c r="K6" s="6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1">
        <v>1.0</v>
      </c>
      <c r="B7" s="13" t="s">
        <v>14</v>
      </c>
      <c r="C7" s="13" t="s">
        <v>232</v>
      </c>
      <c r="D7" s="13" t="s">
        <v>233</v>
      </c>
      <c r="E7" s="13" t="s">
        <v>234</v>
      </c>
      <c r="F7" s="13" t="s">
        <v>235</v>
      </c>
      <c r="G7" s="14"/>
      <c r="H7" s="15" t="str">
        <f t="shared" ref="H7:H19" si="1">IF(I7&lt;&gt;"","✓","")</f>
        <v>✓</v>
      </c>
      <c r="I7" s="19">
        <v>2025.0</v>
      </c>
      <c r="J7" s="14"/>
      <c r="K7" s="18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1">
        <v>2.0</v>
      </c>
      <c r="B8" s="13" t="s">
        <v>14</v>
      </c>
      <c r="C8" s="13" t="s">
        <v>232</v>
      </c>
      <c r="D8" s="13" t="s">
        <v>236</v>
      </c>
      <c r="E8" s="13" t="s">
        <v>237</v>
      </c>
      <c r="F8" s="13" t="s">
        <v>238</v>
      </c>
      <c r="G8" s="14"/>
      <c r="H8" s="15" t="str">
        <f t="shared" si="1"/>
        <v>✓</v>
      </c>
      <c r="I8" s="19">
        <v>2025.0</v>
      </c>
      <c r="J8" s="14"/>
      <c r="K8" s="18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1">
        <v>3.0</v>
      </c>
      <c r="B9" s="13" t="s">
        <v>14</v>
      </c>
      <c r="C9" s="13" t="s">
        <v>232</v>
      </c>
      <c r="D9" s="13" t="s">
        <v>239</v>
      </c>
      <c r="E9" s="13" t="s">
        <v>240</v>
      </c>
      <c r="F9" s="13" t="s">
        <v>241</v>
      </c>
      <c r="G9" s="14"/>
      <c r="H9" s="15" t="str">
        <f t="shared" si="1"/>
        <v>✓</v>
      </c>
      <c r="I9" s="19">
        <v>2025.0</v>
      </c>
      <c r="J9" s="14"/>
      <c r="K9" s="18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1">
        <v>4.0</v>
      </c>
      <c r="B10" s="13" t="s">
        <v>14</v>
      </c>
      <c r="C10" s="13" t="s">
        <v>232</v>
      </c>
      <c r="D10" s="13" t="s">
        <v>242</v>
      </c>
      <c r="E10" s="13" t="s">
        <v>243</v>
      </c>
      <c r="F10" s="13" t="s">
        <v>244</v>
      </c>
      <c r="G10" s="14"/>
      <c r="H10" s="15" t="str">
        <f t="shared" si="1"/>
        <v>✓</v>
      </c>
      <c r="I10" s="19">
        <v>2025.0</v>
      </c>
      <c r="J10" s="14"/>
      <c r="K10" s="18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1">
        <v>5.0</v>
      </c>
      <c r="B11" s="13" t="s">
        <v>14</v>
      </c>
      <c r="C11" s="13" t="s">
        <v>232</v>
      </c>
      <c r="D11" s="13" t="s">
        <v>245</v>
      </c>
      <c r="E11" s="13" t="s">
        <v>246</v>
      </c>
      <c r="F11" s="13" t="s">
        <v>247</v>
      </c>
      <c r="G11" s="14"/>
      <c r="H11" s="15" t="str">
        <f t="shared" si="1"/>
        <v>✓</v>
      </c>
      <c r="I11" s="19">
        <v>2025.0</v>
      </c>
      <c r="J11" s="14"/>
      <c r="K11" s="18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1">
        <v>6.0</v>
      </c>
      <c r="B12" s="13" t="s">
        <v>14</v>
      </c>
      <c r="C12" s="13" t="s">
        <v>232</v>
      </c>
      <c r="D12" s="13" t="s">
        <v>248</v>
      </c>
      <c r="E12" s="13" t="s">
        <v>249</v>
      </c>
      <c r="F12" s="13" t="s">
        <v>232</v>
      </c>
      <c r="G12" s="14"/>
      <c r="H12" s="15" t="str">
        <f t="shared" si="1"/>
        <v>✓</v>
      </c>
      <c r="I12" s="19">
        <v>2025.0</v>
      </c>
      <c r="J12" s="14"/>
      <c r="K12" s="18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1">
        <v>7.0</v>
      </c>
      <c r="B13" s="13" t="s">
        <v>14</v>
      </c>
      <c r="C13" s="13" t="s">
        <v>232</v>
      </c>
      <c r="D13" s="13" t="s">
        <v>250</v>
      </c>
      <c r="E13" s="13" t="s">
        <v>251</v>
      </c>
      <c r="F13" s="13" t="s">
        <v>252</v>
      </c>
      <c r="G13" s="14"/>
      <c r="H13" s="15" t="str">
        <f t="shared" si="1"/>
        <v>✓</v>
      </c>
      <c r="I13" s="19">
        <v>2025.0</v>
      </c>
      <c r="J13" s="14"/>
      <c r="K13" s="18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1">
        <v>8.0</v>
      </c>
      <c r="B14" s="13" t="s">
        <v>14</v>
      </c>
      <c r="C14" s="13" t="s">
        <v>232</v>
      </c>
      <c r="D14" s="13" t="s">
        <v>253</v>
      </c>
      <c r="E14" s="13" t="s">
        <v>254</v>
      </c>
      <c r="F14" s="13" t="s">
        <v>255</v>
      </c>
      <c r="G14" s="14"/>
      <c r="H14" s="15" t="str">
        <f t="shared" si="1"/>
        <v>✓</v>
      </c>
      <c r="I14" s="19">
        <v>2025.0</v>
      </c>
      <c r="J14" s="14"/>
      <c r="K14" s="18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1">
        <v>9.0</v>
      </c>
      <c r="B15" s="13" t="s">
        <v>14</v>
      </c>
      <c r="C15" s="13" t="s">
        <v>232</v>
      </c>
      <c r="D15" s="13" t="s">
        <v>256</v>
      </c>
      <c r="E15" s="13" t="s">
        <v>257</v>
      </c>
      <c r="F15" s="13" t="s">
        <v>241</v>
      </c>
      <c r="G15" s="14"/>
      <c r="H15" s="15" t="str">
        <f t="shared" si="1"/>
        <v>✓</v>
      </c>
      <c r="I15" s="19">
        <v>2025.0</v>
      </c>
      <c r="J15" s="14"/>
      <c r="K15" s="18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1">
        <v>10.0</v>
      </c>
      <c r="B16" s="13" t="s">
        <v>14</v>
      </c>
      <c r="C16" s="13" t="s">
        <v>232</v>
      </c>
      <c r="D16" s="13" t="s">
        <v>258</v>
      </c>
      <c r="E16" s="13" t="s">
        <v>259</v>
      </c>
      <c r="F16" s="13" t="s">
        <v>260</v>
      </c>
      <c r="G16" s="14"/>
      <c r="H16" s="15" t="str">
        <f t="shared" si="1"/>
        <v>✓</v>
      </c>
      <c r="I16" s="19">
        <v>2025.0</v>
      </c>
      <c r="J16" s="14"/>
      <c r="K16" s="18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1">
        <v>11.0</v>
      </c>
      <c r="B17" s="13" t="s">
        <v>14</v>
      </c>
      <c r="C17" s="13" t="s">
        <v>232</v>
      </c>
      <c r="D17" s="13" t="s">
        <v>261</v>
      </c>
      <c r="E17" s="13" t="s">
        <v>262</v>
      </c>
      <c r="F17" s="13" t="s">
        <v>235</v>
      </c>
      <c r="G17" s="14"/>
      <c r="H17" s="15" t="str">
        <f t="shared" si="1"/>
        <v>✓</v>
      </c>
      <c r="I17" s="19">
        <v>2025.0</v>
      </c>
      <c r="J17" s="14"/>
      <c r="K17" s="18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1">
        <v>12.0</v>
      </c>
      <c r="B18" s="13" t="s">
        <v>14</v>
      </c>
      <c r="C18" s="13" t="s">
        <v>232</v>
      </c>
      <c r="D18" s="13" t="s">
        <v>263</v>
      </c>
      <c r="E18" s="13" t="s">
        <v>264</v>
      </c>
      <c r="F18" s="13" t="s">
        <v>265</v>
      </c>
      <c r="G18" s="14"/>
      <c r="H18" s="15" t="str">
        <f t="shared" si="1"/>
        <v>✓</v>
      </c>
      <c r="I18" s="19">
        <v>2025.0</v>
      </c>
      <c r="J18" s="14"/>
      <c r="K18" s="18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1">
        <v>13.0</v>
      </c>
      <c r="B19" s="13" t="s">
        <v>14</v>
      </c>
      <c r="C19" s="13" t="s">
        <v>232</v>
      </c>
      <c r="D19" s="13" t="s">
        <v>266</v>
      </c>
      <c r="E19" s="13" t="s">
        <v>267</v>
      </c>
      <c r="F19" s="13" t="s">
        <v>268</v>
      </c>
      <c r="G19" s="14"/>
      <c r="H19" s="15" t="str">
        <f t="shared" si="1"/>
        <v>✓</v>
      </c>
      <c r="I19" s="19">
        <v>2025.0</v>
      </c>
      <c r="J19" s="14"/>
      <c r="K19" s="18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</sheetData>
  <mergeCells count="4">
    <mergeCell ref="A1:K1"/>
    <mergeCell ref="A2:K2"/>
    <mergeCell ref="A3:K3"/>
    <mergeCell ref="H6:I6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38"/>
    <col customWidth="1" min="3" max="3" width="24.0"/>
    <col customWidth="1" min="4" max="4" width="30.63"/>
    <col customWidth="1" min="5" max="5" width="24.13"/>
    <col customWidth="1" min="6" max="6" width="36.63"/>
    <col customWidth="1" min="8" max="8" width="5.63"/>
    <col customWidth="1" min="10" max="10" width="6.25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5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9"/>
      <c r="K6" s="6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1">
        <v>1.0</v>
      </c>
      <c r="B7" s="13" t="s">
        <v>14</v>
      </c>
      <c r="C7" s="13" t="s">
        <v>14</v>
      </c>
      <c r="D7" s="13" t="s">
        <v>269</v>
      </c>
      <c r="E7" s="13" t="s">
        <v>270</v>
      </c>
      <c r="F7" s="13" t="s">
        <v>271</v>
      </c>
      <c r="G7" s="14"/>
      <c r="H7" s="15" t="str">
        <f t="shared" ref="H7:H14" si="1">IF(I7&lt;&gt;"","✓","")</f>
        <v>✓</v>
      </c>
      <c r="I7" s="19">
        <v>2025.0</v>
      </c>
      <c r="J7" s="14"/>
      <c r="K7" s="18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1">
        <v>2.0</v>
      </c>
      <c r="B8" s="13" t="s">
        <v>14</v>
      </c>
      <c r="C8" s="13" t="s">
        <v>14</v>
      </c>
      <c r="D8" s="13" t="s">
        <v>272</v>
      </c>
      <c r="E8" s="13" t="s">
        <v>273</v>
      </c>
      <c r="F8" s="13" t="s">
        <v>274</v>
      </c>
      <c r="G8" s="14"/>
      <c r="H8" s="15" t="str">
        <f t="shared" si="1"/>
        <v>✓</v>
      </c>
      <c r="I8" s="19">
        <v>2025.0</v>
      </c>
      <c r="J8" s="14"/>
      <c r="K8" s="18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1">
        <v>3.0</v>
      </c>
      <c r="B9" s="13" t="s">
        <v>14</v>
      </c>
      <c r="C9" s="13" t="s">
        <v>14</v>
      </c>
      <c r="D9" s="13" t="s">
        <v>275</v>
      </c>
      <c r="E9" s="13" t="s">
        <v>276</v>
      </c>
      <c r="F9" s="13" t="s">
        <v>277</v>
      </c>
      <c r="G9" s="14"/>
      <c r="H9" s="15" t="str">
        <f t="shared" si="1"/>
        <v>✓</v>
      </c>
      <c r="I9" s="19">
        <v>2025.0</v>
      </c>
      <c r="J9" s="14"/>
      <c r="K9" s="18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1">
        <v>4.0</v>
      </c>
      <c r="B10" s="13" t="s">
        <v>14</v>
      </c>
      <c r="C10" s="13" t="s">
        <v>14</v>
      </c>
      <c r="D10" s="13" t="s">
        <v>278</v>
      </c>
      <c r="E10" s="13" t="s">
        <v>279</v>
      </c>
      <c r="F10" s="13" t="s">
        <v>280</v>
      </c>
      <c r="G10" s="14"/>
      <c r="H10" s="15" t="str">
        <f t="shared" si="1"/>
        <v>✓</v>
      </c>
      <c r="I10" s="19">
        <v>2025.0</v>
      </c>
      <c r="J10" s="14"/>
      <c r="K10" s="18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1">
        <v>5.0</v>
      </c>
      <c r="B11" s="13" t="s">
        <v>14</v>
      </c>
      <c r="C11" s="13" t="s">
        <v>14</v>
      </c>
      <c r="D11" s="13" t="s">
        <v>281</v>
      </c>
      <c r="E11" s="13" t="s">
        <v>282</v>
      </c>
      <c r="F11" s="13" t="s">
        <v>283</v>
      </c>
      <c r="G11" s="14"/>
      <c r="H11" s="15" t="str">
        <f t="shared" si="1"/>
        <v>✓</v>
      </c>
      <c r="I11" s="19">
        <v>2025.0</v>
      </c>
      <c r="J11" s="14"/>
      <c r="K11" s="18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1">
        <v>6.0</v>
      </c>
      <c r="B12" s="13" t="s">
        <v>14</v>
      </c>
      <c r="C12" s="13" t="s">
        <v>14</v>
      </c>
      <c r="D12" s="13" t="s">
        <v>284</v>
      </c>
      <c r="E12" s="13" t="s">
        <v>285</v>
      </c>
      <c r="F12" s="13" t="s">
        <v>286</v>
      </c>
      <c r="G12" s="14"/>
      <c r="H12" s="15" t="str">
        <f t="shared" si="1"/>
        <v>✓</v>
      </c>
      <c r="I12" s="19">
        <v>2025.0</v>
      </c>
      <c r="J12" s="14"/>
      <c r="K12" s="18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1">
        <v>7.0</v>
      </c>
      <c r="B13" s="13" t="s">
        <v>14</v>
      </c>
      <c r="C13" s="13" t="s">
        <v>14</v>
      </c>
      <c r="D13" s="13" t="s">
        <v>287</v>
      </c>
      <c r="E13" s="13" t="s">
        <v>288</v>
      </c>
      <c r="F13" s="13" t="s">
        <v>289</v>
      </c>
      <c r="G13" s="14"/>
      <c r="H13" s="15" t="str">
        <f t="shared" si="1"/>
        <v>✓</v>
      </c>
      <c r="I13" s="19">
        <v>2025.0</v>
      </c>
      <c r="J13" s="14"/>
      <c r="K13" s="18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1">
        <v>8.0</v>
      </c>
      <c r="B14" s="13" t="s">
        <v>14</v>
      </c>
      <c r="C14" s="13" t="s">
        <v>14</v>
      </c>
      <c r="D14" s="13" t="s">
        <v>290</v>
      </c>
      <c r="E14" s="13" t="s">
        <v>291</v>
      </c>
      <c r="F14" s="13" t="s">
        <v>292</v>
      </c>
      <c r="G14" s="14"/>
      <c r="H14" s="15" t="str">
        <f t="shared" si="1"/>
        <v>✓</v>
      </c>
      <c r="I14" s="19">
        <v>2025.0</v>
      </c>
      <c r="J14" s="14"/>
      <c r="K14" s="18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</sheetData>
  <mergeCells count="4">
    <mergeCell ref="A1:K1"/>
    <mergeCell ref="A2:K2"/>
    <mergeCell ref="A3:K3"/>
    <mergeCell ref="H6:I6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38"/>
    <col customWidth="1" min="3" max="3" width="24.0"/>
    <col customWidth="1" min="4" max="4" width="30.63"/>
    <col customWidth="1" min="5" max="5" width="24.13"/>
    <col customWidth="1" min="6" max="6" width="36.63"/>
    <col customWidth="1" min="8" max="8" width="5.63"/>
    <col customWidth="1" min="10" max="10" width="6.25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5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9"/>
      <c r="K6" s="6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1">
        <v>1.0</v>
      </c>
      <c r="B7" s="13" t="s">
        <v>14</v>
      </c>
      <c r="C7" s="13" t="s">
        <v>293</v>
      </c>
      <c r="D7" s="13" t="s">
        <v>294</v>
      </c>
      <c r="E7" s="13" t="s">
        <v>295</v>
      </c>
      <c r="F7" s="13" t="s">
        <v>296</v>
      </c>
      <c r="G7" s="14"/>
      <c r="H7" s="15" t="str">
        <f t="shared" ref="H7:H13" si="1">IF(I7&lt;&gt;"","✓","")</f>
        <v>✓</v>
      </c>
      <c r="I7" s="19">
        <v>2025.0</v>
      </c>
      <c r="J7" s="14"/>
      <c r="K7" s="18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1">
        <v>2.0</v>
      </c>
      <c r="B8" s="13" t="s">
        <v>14</v>
      </c>
      <c r="C8" s="13" t="s">
        <v>293</v>
      </c>
      <c r="D8" s="13" t="s">
        <v>297</v>
      </c>
      <c r="E8" s="13" t="s">
        <v>298</v>
      </c>
      <c r="F8" s="13" t="s">
        <v>299</v>
      </c>
      <c r="G8" s="14"/>
      <c r="H8" s="15" t="str">
        <f t="shared" si="1"/>
        <v>✓</v>
      </c>
      <c r="I8" s="19">
        <v>2025.0</v>
      </c>
      <c r="J8" s="14"/>
      <c r="K8" s="18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1">
        <v>3.0</v>
      </c>
      <c r="B9" s="13" t="s">
        <v>14</v>
      </c>
      <c r="C9" s="13" t="s">
        <v>293</v>
      </c>
      <c r="D9" s="13" t="s">
        <v>300</v>
      </c>
      <c r="E9" s="13" t="s">
        <v>301</v>
      </c>
      <c r="F9" s="13" t="s">
        <v>302</v>
      </c>
      <c r="G9" s="14"/>
      <c r="H9" s="15" t="str">
        <f t="shared" si="1"/>
        <v>✓</v>
      </c>
      <c r="I9" s="19">
        <v>2025.0</v>
      </c>
      <c r="J9" s="14"/>
      <c r="K9" s="18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1">
        <v>4.0</v>
      </c>
      <c r="B10" s="13" t="s">
        <v>14</v>
      </c>
      <c r="C10" s="13" t="s">
        <v>293</v>
      </c>
      <c r="D10" s="13" t="s">
        <v>303</v>
      </c>
      <c r="E10" s="13" t="s">
        <v>304</v>
      </c>
      <c r="F10" s="13" t="s">
        <v>299</v>
      </c>
      <c r="G10" s="14"/>
      <c r="H10" s="15" t="str">
        <f t="shared" si="1"/>
        <v>✓</v>
      </c>
      <c r="I10" s="19">
        <v>2025.0</v>
      </c>
      <c r="J10" s="14"/>
      <c r="K10" s="18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1">
        <v>5.0</v>
      </c>
      <c r="B11" s="13" t="s">
        <v>14</v>
      </c>
      <c r="C11" s="13" t="s">
        <v>293</v>
      </c>
      <c r="D11" s="13" t="s">
        <v>305</v>
      </c>
      <c r="E11" s="13" t="s">
        <v>306</v>
      </c>
      <c r="F11" s="13" t="s">
        <v>307</v>
      </c>
      <c r="G11" s="14"/>
      <c r="H11" s="15" t="str">
        <f t="shared" si="1"/>
        <v>✓</v>
      </c>
      <c r="I11" s="19">
        <v>2025.0</v>
      </c>
      <c r="J11" s="14"/>
      <c r="K11" s="18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1">
        <v>6.0</v>
      </c>
      <c r="B12" s="13" t="s">
        <v>14</v>
      </c>
      <c r="C12" s="13" t="s">
        <v>293</v>
      </c>
      <c r="D12" s="13" t="s">
        <v>308</v>
      </c>
      <c r="E12" s="13" t="s">
        <v>309</v>
      </c>
      <c r="F12" s="13" t="s">
        <v>296</v>
      </c>
      <c r="G12" s="14"/>
      <c r="H12" s="15" t="str">
        <f t="shared" si="1"/>
        <v>✓</v>
      </c>
      <c r="I12" s="19">
        <v>2025.0</v>
      </c>
      <c r="J12" s="14"/>
      <c r="K12" s="18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1">
        <v>7.0</v>
      </c>
      <c r="B13" s="13" t="s">
        <v>14</v>
      </c>
      <c r="C13" s="13" t="s">
        <v>293</v>
      </c>
      <c r="D13" s="13" t="s">
        <v>310</v>
      </c>
      <c r="E13" s="13" t="s">
        <v>311</v>
      </c>
      <c r="F13" s="13" t="s">
        <v>296</v>
      </c>
      <c r="G13" s="14"/>
      <c r="H13" s="15" t="str">
        <f t="shared" si="1"/>
        <v>✓</v>
      </c>
      <c r="I13" s="19">
        <v>2025.0</v>
      </c>
      <c r="J13" s="14"/>
      <c r="K13" s="18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</sheetData>
  <mergeCells count="4">
    <mergeCell ref="A1:K1"/>
    <mergeCell ref="A2:K2"/>
    <mergeCell ref="A3:K3"/>
    <mergeCell ref="H6:I6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38"/>
    <col customWidth="1" min="3" max="3" width="24.0"/>
    <col customWidth="1" min="4" max="4" width="30.63"/>
    <col customWidth="1" min="5" max="5" width="24.13"/>
    <col customWidth="1" min="6" max="6" width="36.63"/>
    <col customWidth="1" min="8" max="8" width="5.63"/>
    <col customWidth="1" min="10" max="10" width="6.25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5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9"/>
      <c r="K6" s="6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1">
        <v>1.0</v>
      </c>
      <c r="B7" s="13" t="s">
        <v>14</v>
      </c>
      <c r="C7" s="13" t="s">
        <v>312</v>
      </c>
      <c r="D7" s="13" t="s">
        <v>313</v>
      </c>
      <c r="E7" s="13" t="s">
        <v>314</v>
      </c>
      <c r="F7" s="13" t="s">
        <v>312</v>
      </c>
      <c r="G7" s="14"/>
      <c r="H7" s="15" t="str">
        <f t="shared" ref="H7:H10" si="1">IF(I7&lt;&gt;"","✓","")</f>
        <v>✓</v>
      </c>
      <c r="I7" s="19">
        <v>2025.0</v>
      </c>
      <c r="J7" s="14"/>
      <c r="K7" s="18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1">
        <v>2.0</v>
      </c>
      <c r="B8" s="13" t="s">
        <v>14</v>
      </c>
      <c r="C8" s="13" t="s">
        <v>312</v>
      </c>
      <c r="D8" s="13" t="s">
        <v>315</v>
      </c>
      <c r="E8" s="13" t="s">
        <v>316</v>
      </c>
      <c r="F8" s="13" t="s">
        <v>317</v>
      </c>
      <c r="G8" s="14"/>
      <c r="H8" s="15" t="str">
        <f t="shared" si="1"/>
        <v>✓</v>
      </c>
      <c r="I8" s="19">
        <v>2025.0</v>
      </c>
      <c r="J8" s="14"/>
      <c r="K8" s="18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1">
        <v>3.0</v>
      </c>
      <c r="B9" s="13" t="s">
        <v>14</v>
      </c>
      <c r="C9" s="13" t="s">
        <v>312</v>
      </c>
      <c r="D9" s="13" t="s">
        <v>318</v>
      </c>
      <c r="E9" s="13" t="s">
        <v>319</v>
      </c>
      <c r="F9" s="13" t="s">
        <v>312</v>
      </c>
      <c r="G9" s="14"/>
      <c r="H9" s="15" t="str">
        <f t="shared" si="1"/>
        <v>✓</v>
      </c>
      <c r="I9" s="19">
        <v>2025.0</v>
      </c>
      <c r="J9" s="14"/>
      <c r="K9" s="18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1">
        <v>4.0</v>
      </c>
      <c r="B10" s="13" t="s">
        <v>14</v>
      </c>
      <c r="C10" s="13" t="s">
        <v>312</v>
      </c>
      <c r="D10" s="13" t="s">
        <v>320</v>
      </c>
      <c r="E10" s="13" t="s">
        <v>321</v>
      </c>
      <c r="F10" s="13" t="s">
        <v>322</v>
      </c>
      <c r="G10" s="14"/>
      <c r="H10" s="15" t="str">
        <f t="shared" si="1"/>
        <v>✓</v>
      </c>
      <c r="I10" s="19">
        <v>2025.0</v>
      </c>
      <c r="J10" s="14"/>
      <c r="K10" s="18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</sheetData>
  <mergeCells count="4">
    <mergeCell ref="A1:K1"/>
    <mergeCell ref="A2:K2"/>
    <mergeCell ref="A3:K3"/>
    <mergeCell ref="H6:I6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0"/>
    <col customWidth="1" min="3" max="3" width="25.38"/>
    <col customWidth="1" min="4" max="4" width="33.38"/>
    <col customWidth="1" min="5" max="5" width="20.0"/>
    <col customWidth="1" min="6" max="6" width="30.13"/>
    <col customWidth="1" min="7" max="7" width="12.75"/>
    <col customWidth="1" min="8" max="8" width="5.0"/>
    <col customWidth="1" min="10" max="10" width="4.63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5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9"/>
      <c r="K6" s="6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1">
        <v>1.0</v>
      </c>
      <c r="B7" s="20" t="s">
        <v>14</v>
      </c>
      <c r="C7" s="20" t="s">
        <v>323</v>
      </c>
      <c r="D7" s="20" t="s">
        <v>324</v>
      </c>
      <c r="E7" s="20" t="s">
        <v>325</v>
      </c>
      <c r="F7" s="20" t="s">
        <v>323</v>
      </c>
      <c r="G7" s="21"/>
      <c r="H7" s="15" t="str">
        <f t="shared" ref="H7:H12" si="1">IF(I7&lt;&gt;"","✓","")</f>
        <v>✓</v>
      </c>
      <c r="I7" s="22">
        <v>2025.0</v>
      </c>
      <c r="J7" s="21"/>
      <c r="K7" s="18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1">
        <v>2.0</v>
      </c>
      <c r="B8" s="20" t="s">
        <v>14</v>
      </c>
      <c r="C8" s="20" t="s">
        <v>323</v>
      </c>
      <c r="D8" s="20" t="s">
        <v>326</v>
      </c>
      <c r="E8" s="20" t="s">
        <v>327</v>
      </c>
      <c r="F8" s="20" t="s">
        <v>323</v>
      </c>
      <c r="G8" s="21"/>
      <c r="H8" s="15" t="str">
        <f t="shared" si="1"/>
        <v>✓</v>
      </c>
      <c r="I8" s="22">
        <v>2025.0</v>
      </c>
      <c r="J8" s="21"/>
      <c r="K8" s="18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1">
        <v>3.0</v>
      </c>
      <c r="B9" s="20" t="s">
        <v>14</v>
      </c>
      <c r="C9" s="20" t="s">
        <v>323</v>
      </c>
      <c r="D9" s="20" t="s">
        <v>328</v>
      </c>
      <c r="E9" s="20" t="s">
        <v>329</v>
      </c>
      <c r="F9" s="20" t="s">
        <v>323</v>
      </c>
      <c r="G9" s="21"/>
      <c r="H9" s="15" t="str">
        <f t="shared" si="1"/>
        <v>✓</v>
      </c>
      <c r="I9" s="22">
        <v>2025.0</v>
      </c>
      <c r="J9" s="21"/>
      <c r="K9" s="18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1">
        <v>4.0</v>
      </c>
      <c r="B10" s="20" t="s">
        <v>14</v>
      </c>
      <c r="C10" s="20" t="s">
        <v>323</v>
      </c>
      <c r="D10" s="20" t="s">
        <v>330</v>
      </c>
      <c r="E10" s="20" t="s">
        <v>331</v>
      </c>
      <c r="F10" s="20" t="s">
        <v>323</v>
      </c>
      <c r="G10" s="21"/>
      <c r="H10" s="15" t="str">
        <f t="shared" si="1"/>
        <v>✓</v>
      </c>
      <c r="I10" s="22">
        <v>2025.0</v>
      </c>
      <c r="J10" s="21"/>
      <c r="K10" s="18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1">
        <v>5.0</v>
      </c>
      <c r="B11" s="20" t="s">
        <v>14</v>
      </c>
      <c r="C11" s="20" t="s">
        <v>323</v>
      </c>
      <c r="D11" s="20" t="s">
        <v>332</v>
      </c>
      <c r="E11" s="20" t="s">
        <v>333</v>
      </c>
      <c r="F11" s="20" t="s">
        <v>323</v>
      </c>
      <c r="G11" s="21"/>
      <c r="H11" s="15" t="str">
        <f t="shared" si="1"/>
        <v>✓</v>
      </c>
      <c r="I11" s="22">
        <v>2025.0</v>
      </c>
      <c r="J11" s="21"/>
      <c r="K11" s="18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1">
        <v>6.0</v>
      </c>
      <c r="B12" s="20" t="s">
        <v>14</v>
      </c>
      <c r="C12" s="20" t="s">
        <v>323</v>
      </c>
      <c r="D12" s="20" t="s">
        <v>334</v>
      </c>
      <c r="E12" s="20" t="s">
        <v>335</v>
      </c>
      <c r="F12" s="20" t="s">
        <v>323</v>
      </c>
      <c r="G12" s="21"/>
      <c r="H12" s="15" t="str">
        <f t="shared" si="1"/>
        <v>✓</v>
      </c>
      <c r="I12" s="22">
        <v>2025.0</v>
      </c>
      <c r="J12" s="21"/>
      <c r="K12" s="18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</sheetData>
  <mergeCells count="4">
    <mergeCell ref="A1:K1"/>
    <mergeCell ref="A2:K2"/>
    <mergeCell ref="A3:K3"/>
    <mergeCell ref="H6:I6"/>
  </mergeCells>
  <drawing r:id="rId1"/>
</worksheet>
</file>