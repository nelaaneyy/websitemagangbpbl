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KAMIS" sheetId="1" r:id="rId5"/>
    <sheet state="visible" name="SUNGAIKERAMAT" sheetId="2" r:id="rId6"/>
    <sheet state="visible" name="TELUKRENDAH" sheetId="3" r:id="rId7"/>
  </sheets>
  <definedNames/>
  <calcPr/>
</workbook>
</file>

<file path=xl/sharedStrings.xml><?xml version="1.0" encoding="utf-8"?>
<sst xmlns="http://schemas.openxmlformats.org/spreadsheetml/2006/main" count="166" uniqueCount="85">
  <si>
    <t>REKAPITULASI USULAN DAN REALISASI PENERIMA BPBL PROVINSI JAMBI</t>
  </si>
  <si>
    <t>MELALUI KEGIATAN PLN (Sumber Dana APBN)</t>
  </si>
  <si>
    <t>TAHUN 2025-2026</t>
  </si>
  <si>
    <t>Kab/Kota</t>
  </si>
  <si>
    <t>: Kabupaten Sarolangun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</si>
  <si>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</si>
  <si>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</si>
  <si>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</si>
  <si>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</si>
  <si>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</si>
  <si>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</si>
  <si>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</si>
  <si>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</si>
  <si>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</si>
  <si>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CERMIN NAN GEDANG</t>
  </si>
  <si>
    <t>SUNGAIKERAMAT</t>
  </si>
  <si>
    <t>TELUKRENDAH</t>
  </si>
  <si>
    <t>ASNI</t>
  </si>
  <si>
    <t>1503104612730001</t>
  </si>
  <si>
    <t>AIDA YANTI</t>
  </si>
  <si>
    <t>RT04</t>
  </si>
  <si>
    <t>1503106112930001</t>
  </si>
  <si>
    <t>TELUK RENDAH RT 04 DUSUN SIMPANG PETRO</t>
  </si>
  <si>
    <t>SEKAMIS</t>
  </si>
  <si>
    <t>BAROKAH</t>
  </si>
  <si>
    <t>1503104110680002</t>
  </si>
  <si>
    <t>SEKAMIS RT 03 DUSUN SUNGAI DINGIN</t>
  </si>
  <si>
    <t>DEVI AL MISBAH</t>
  </si>
  <si>
    <t>1503104612950003</t>
  </si>
  <si>
    <t>SARBENI</t>
  </si>
  <si>
    <t>DEDI IRAWAN</t>
  </si>
  <si>
    <t>RT 04</t>
  </si>
  <si>
    <t>1503030204930004</t>
  </si>
  <si>
    <t>1503102804990001</t>
  </si>
  <si>
    <t>DUSUN TINGGI RT 06 SEKAMIS</t>
  </si>
  <si>
    <t>TELUK RENDAH</t>
  </si>
  <si>
    <t>HAYUNI</t>
  </si>
  <si>
    <t>1503104107960054</t>
  </si>
  <si>
    <t>RT 03 SUNGAI KERAMAT</t>
  </si>
  <si>
    <t>FRENDI AZHUR</t>
  </si>
  <si>
    <t>1503102811950002</t>
  </si>
  <si>
    <t>RT 06 TELUK RENDAH</t>
  </si>
  <si>
    <t>IIS PITRIYANTI</t>
  </si>
  <si>
    <t>1503104107970007</t>
  </si>
  <si>
    <t>RT 02</t>
  </si>
  <si>
    <t>HARMINAH</t>
  </si>
  <si>
    <t>1503105708820001</t>
  </si>
  <si>
    <t>RT 02 TELUK RENDAH</t>
  </si>
  <si>
    <t>M RASID</t>
  </si>
  <si>
    <t>1503102004600001</t>
  </si>
  <si>
    <t>RT 01 SUNGAI KERAMAT</t>
  </si>
  <si>
    <t>MU'IS</t>
  </si>
  <si>
    <t>1503100107860042</t>
  </si>
  <si>
    <t>RT 01 TELUK RENDAH</t>
  </si>
  <si>
    <t>MUHRAM</t>
  </si>
  <si>
    <t>1503104910860001</t>
  </si>
  <si>
    <t>RT 05 SUNGAI KERAMAT</t>
  </si>
  <si>
    <t>PUTRI YANTI</t>
  </si>
  <si>
    <t>1503106111960001</t>
  </si>
  <si>
    <t>RT 03 TELUK RENDAH</t>
  </si>
  <si>
    <t>NORLEHAH</t>
  </si>
  <si>
    <t>1503107110670001</t>
  </si>
  <si>
    <t>SAIAN</t>
  </si>
  <si>
    <t>1503100107890045</t>
  </si>
  <si>
    <t>QOMARIYAH</t>
  </si>
  <si>
    <t>RT 05 TELOK RENDAH</t>
  </si>
  <si>
    <t>1503105707930003</t>
  </si>
  <si>
    <t>SUNGAI KERAMAT</t>
  </si>
  <si>
    <t>RUDI</t>
  </si>
  <si>
    <t>SANARIAH</t>
  </si>
  <si>
    <t>1503101508780004</t>
  </si>
  <si>
    <t>TELUK RENDAH RT 01</t>
  </si>
  <si>
    <t>SUNARTI</t>
  </si>
  <si>
    <t>1503104509880001</t>
  </si>
  <si>
    <t>RT03</t>
  </si>
  <si>
    <t>WIDIA JUNI LESTARI</t>
  </si>
  <si>
    <t>1503106806010004</t>
  </si>
  <si>
    <t>SUSI SUSANTI</t>
  </si>
  <si>
    <t>1503104710950001</t>
  </si>
  <si>
    <t>TITIN LESTARI</t>
  </si>
  <si>
    <t>1503104610040002</t>
  </si>
  <si>
    <t>TRISKA RUPIANA</t>
  </si>
  <si>
    <t>1503104204960003</t>
  </si>
  <si>
    <t>YULIYANA</t>
  </si>
  <si>
    <t>1503104901850001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</si>
</sst>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>
      <sz val="11.0"/>
      <color theme="1"/>
      <name val="Calibri"/>
    </font>
    <font/>
    <font>
      <color theme="1"/>
      <name val="Calibri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1" fillId="2" fontId="4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5" numFmtId="0" xfId="0" applyBorder="1" applyFont="1"/>
    <xf borderId="4" fillId="2" fontId="2" numFmtId="0" xfId="0" applyAlignment="1" applyBorder="1" applyFill="1" applyFont="1">
      <alignment vertical="bottom"/>
    </xf>
    <xf borderId="1" fillId="0" fontId="6" numFmtId="0" xfId="0" applyAlignment="1" applyBorder="1" applyFont="1">
      <alignment horizontal="center" readingOrder="0" vertical="bottom"/>
    </xf>
    <xf borderId="1" fillId="0" fontId="7" numFmtId="0" xfId="0" applyAlignment="1" applyBorder="1" applyFont="1">
      <alignment horizontal="center" readingOrder="0" shrinkToFit="0" vertical="bottom" wrapText="0"/>
    </xf>
    <xf borderId="1" fillId="0" fontId="6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5"/>
    <col customWidth="1" min="3" max="3" width="24.25"/>
    <col customWidth="1" min="4" max="4" width="19.13"/>
    <col customWidth="1" min="5" max="5" width="25.88"/>
    <col customWidth="1" min="6" max="6" width="43.75"/>
    <col customWidth="1" min="8" max="8" width="5.13"/>
    <col customWidth="1" min="9" max="9" width="9.88"/>
    <col customWidth="1" min="10" max="10" width="5.0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11" t="s">
        <v>14</v>
      </c>
      <c r="C7" s="11" t="s">
        <v>23</v>
      </c>
      <c r="D7" s="11" t="s">
        <v>24</v>
      </c>
      <c r="E7" s="11" t="s">
        <v>25</v>
      </c>
      <c r="F7" s="11" t="s">
        <v>26</v>
      </c>
      <c r="G7" s="13"/>
      <c r="H7" s="14" t="str">
        <f t="shared" ref="H7:H8" si="1">IF(I7&lt;&gt;"","✓","")</f>
        <v>✓</v>
      </c>
      <c r="I7" s="15">
        <v>2025.0</v>
      </c>
      <c r="J7" s="16"/>
      <c r="K7" s="1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11" t="s">
        <v>14</v>
      </c>
      <c r="C8" s="11" t="s">
        <v>23</v>
      </c>
      <c r="D8" s="11" t="s">
        <v>29</v>
      </c>
      <c r="E8" s="11" t="s">
        <v>32</v>
      </c>
      <c r="F8" s="11" t="s">
        <v>34</v>
      </c>
      <c r="G8" s="13"/>
      <c r="H8" s="14" t="str">
        <f t="shared" si="1"/>
        <v>✓</v>
      </c>
      <c r="I8" s="15">
        <v>2025.0</v>
      </c>
      <c r="J8" s="16"/>
      <c r="K8" s="1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</sheetData>
  <mergeCells count="4">
    <mergeCell ref="A1:K1"/>
    <mergeCell ref="A2:K2"/>
    <mergeCell ref="A3:K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5"/>
    <col customWidth="1" min="3" max="3" width="24.25"/>
    <col customWidth="1" min="4" max="4" width="19.13"/>
    <col customWidth="1" min="5" max="5" width="25.88"/>
    <col customWidth="1" min="6" max="6" width="43.75"/>
    <col customWidth="1" min="8" max="8" width="5.13"/>
    <col customWidth="1" min="9" max="9" width="9.88"/>
    <col customWidth="1" min="10" max="10" width="5.0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1" t="s">
        <v>14</v>
      </c>
      <c r="C7" s="11" t="s">
        <v>15</v>
      </c>
      <c r="D7" s="11" t="s">
        <v>17</v>
      </c>
      <c r="E7" s="11" t="s">
        <v>18</v>
      </c>
      <c r="F7" s="11" t="s">
        <v>20</v>
      </c>
      <c r="G7" s="13"/>
      <c r="H7" s="14" t="str">
        <f t="shared" ref="H7:H20" si="1">IF(I7&lt;&gt;"","✓","")</f>
        <v>✓</v>
      </c>
      <c r="I7" s="15">
        <v>2025.0</v>
      </c>
      <c r="J7" s="16"/>
      <c r="K7" s="1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1" t="s">
        <v>14</v>
      </c>
      <c r="C8" s="11" t="s">
        <v>15</v>
      </c>
      <c r="D8" s="11" t="s">
        <v>27</v>
      </c>
      <c r="E8" s="11" t="s">
        <v>28</v>
      </c>
      <c r="F8" s="11" t="s">
        <v>31</v>
      </c>
      <c r="G8" s="13"/>
      <c r="H8" s="14" t="str">
        <f t="shared" si="1"/>
        <v>✓</v>
      </c>
      <c r="I8" s="15">
        <v>2025.0</v>
      </c>
      <c r="J8" s="16"/>
      <c r="K8" s="1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1" t="s">
        <v>14</v>
      </c>
      <c r="C9" s="11" t="s">
        <v>15</v>
      </c>
      <c r="D9" s="11" t="s">
        <v>36</v>
      </c>
      <c r="E9" s="11" t="s">
        <v>37</v>
      </c>
      <c r="F9" s="11" t="s">
        <v>38</v>
      </c>
      <c r="G9" s="13"/>
      <c r="H9" s="14" t="str">
        <f t="shared" si="1"/>
        <v>✓</v>
      </c>
      <c r="I9" s="15">
        <v>2025.0</v>
      </c>
      <c r="J9" s="16"/>
      <c r="K9" s="1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">
        <v>4.0</v>
      </c>
      <c r="B10" s="11" t="s">
        <v>14</v>
      </c>
      <c r="C10" s="11" t="s">
        <v>15</v>
      </c>
      <c r="D10" s="11" t="s">
        <v>42</v>
      </c>
      <c r="E10" s="11" t="s">
        <v>43</v>
      </c>
      <c r="F10" s="11" t="s">
        <v>44</v>
      </c>
      <c r="G10" s="13"/>
      <c r="H10" s="14" t="str">
        <f t="shared" si="1"/>
        <v>✓</v>
      </c>
      <c r="I10" s="15">
        <v>2025.0</v>
      </c>
      <c r="J10" s="16"/>
      <c r="K10" s="1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>
        <v>5.0</v>
      </c>
      <c r="B11" s="11" t="s">
        <v>14</v>
      </c>
      <c r="C11" s="11" t="s">
        <v>15</v>
      </c>
      <c r="D11" s="11" t="s">
        <v>48</v>
      </c>
      <c r="E11" s="11" t="s">
        <v>49</v>
      </c>
      <c r="F11" s="11" t="s">
        <v>50</v>
      </c>
      <c r="G11" s="13"/>
      <c r="H11" s="14" t="str">
        <f t="shared" si="1"/>
        <v>✓</v>
      </c>
      <c r="I11" s="15">
        <v>2025.0</v>
      </c>
      <c r="J11" s="16"/>
      <c r="K11" s="1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0">
        <v>6.0</v>
      </c>
      <c r="B12" s="11" t="s">
        <v>14</v>
      </c>
      <c r="C12" s="11" t="s">
        <v>15</v>
      </c>
      <c r="D12" s="11" t="s">
        <v>54</v>
      </c>
      <c r="E12" s="11" t="s">
        <v>55</v>
      </c>
      <c r="F12" s="11" t="s">
        <v>56</v>
      </c>
      <c r="G12" s="13"/>
      <c r="H12" s="14" t="str">
        <f t="shared" si="1"/>
        <v>✓</v>
      </c>
      <c r="I12" s="15">
        <v>2025.0</v>
      </c>
      <c r="J12" s="16"/>
      <c r="K12" s="1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">
        <v>7.0</v>
      </c>
      <c r="B13" s="11" t="s">
        <v>14</v>
      </c>
      <c r="C13" s="11" t="s">
        <v>15</v>
      </c>
      <c r="D13" s="11" t="s">
        <v>60</v>
      </c>
      <c r="E13" s="11" t="s">
        <v>61</v>
      </c>
      <c r="F13" s="11" t="s">
        <v>20</v>
      </c>
      <c r="G13" s="13"/>
      <c r="H13" s="14" t="str">
        <f t="shared" si="1"/>
        <v>✓</v>
      </c>
      <c r="I13" s="15">
        <v>2025.0</v>
      </c>
      <c r="J13" s="16"/>
      <c r="K13" s="1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0">
        <v>8.0</v>
      </c>
      <c r="B14" s="11" t="s">
        <v>14</v>
      </c>
      <c r="C14" s="11" t="s">
        <v>15</v>
      </c>
      <c r="D14" s="11" t="s">
        <v>64</v>
      </c>
      <c r="E14" s="11" t="s">
        <v>66</v>
      </c>
      <c r="F14" s="11" t="s">
        <v>67</v>
      </c>
      <c r="G14" s="13"/>
      <c r="H14" s="14" t="str">
        <f t="shared" si="1"/>
        <v>✓</v>
      </c>
      <c r="I14" s="15">
        <v>2025.0</v>
      </c>
      <c r="J14" s="16"/>
      <c r="K14" s="1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0">
        <v>9.0</v>
      </c>
      <c r="B15" s="11" t="s">
        <v>14</v>
      </c>
      <c r="C15" s="11" t="s">
        <v>15</v>
      </c>
      <c r="D15" s="11" t="s">
        <v>68</v>
      </c>
      <c r="E15" s="11" t="s">
        <v>70</v>
      </c>
      <c r="F15" s="11" t="s">
        <v>31</v>
      </c>
      <c r="G15" s="13"/>
      <c r="H15" s="14" t="str">
        <f t="shared" si="1"/>
        <v>✓</v>
      </c>
      <c r="I15" s="15">
        <v>2025.0</v>
      </c>
      <c r="J15" s="16"/>
      <c r="K15" s="1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0">
        <v>10.0</v>
      </c>
      <c r="B16" s="11" t="s">
        <v>14</v>
      </c>
      <c r="C16" s="11" t="s">
        <v>15</v>
      </c>
      <c r="D16" s="11" t="s">
        <v>72</v>
      </c>
      <c r="E16" s="11" t="s">
        <v>73</v>
      </c>
      <c r="F16" s="11" t="s">
        <v>74</v>
      </c>
      <c r="G16" s="13"/>
      <c r="H16" s="14" t="str">
        <f t="shared" si="1"/>
        <v>✓</v>
      </c>
      <c r="I16" s="15">
        <v>2025.0</v>
      </c>
      <c r="J16" s="16"/>
      <c r="K16" s="1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0">
        <v>11.0</v>
      </c>
      <c r="B17" s="11" t="s">
        <v>14</v>
      </c>
      <c r="C17" s="11" t="s">
        <v>15</v>
      </c>
      <c r="D17" s="11" t="s">
        <v>77</v>
      </c>
      <c r="E17" s="11" t="s">
        <v>78</v>
      </c>
      <c r="F17" s="11" t="s">
        <v>38</v>
      </c>
      <c r="G17" s="13"/>
      <c r="H17" s="14" t="str">
        <f t="shared" si="1"/>
        <v>✓</v>
      </c>
      <c r="I17" s="15">
        <v>2025.0</v>
      </c>
      <c r="J17" s="16"/>
      <c r="K17" s="1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0">
        <v>12.0</v>
      </c>
      <c r="B18" s="11" t="s">
        <v>14</v>
      </c>
      <c r="C18" s="11" t="s">
        <v>15</v>
      </c>
      <c r="D18" s="11" t="s">
        <v>79</v>
      </c>
      <c r="E18" s="11" t="s">
        <v>80</v>
      </c>
      <c r="F18" s="11" t="s">
        <v>38</v>
      </c>
      <c r="G18" s="13"/>
      <c r="H18" s="14" t="str">
        <f t="shared" si="1"/>
        <v>✓</v>
      </c>
      <c r="I18" s="15">
        <v>2025.0</v>
      </c>
      <c r="J18" s="16"/>
      <c r="K18" s="17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0">
        <v>13.0</v>
      </c>
      <c r="B19" s="11" t="s">
        <v>14</v>
      </c>
      <c r="C19" s="11" t="s">
        <v>15</v>
      </c>
      <c r="D19" s="11" t="s">
        <v>81</v>
      </c>
      <c r="E19" s="11" t="s">
        <v>82</v>
      </c>
      <c r="F19" s="11" t="s">
        <v>38</v>
      </c>
      <c r="G19" s="13"/>
      <c r="H19" s="14" t="str">
        <f t="shared" si="1"/>
        <v>✓</v>
      </c>
      <c r="I19" s="15">
        <v>2025.0</v>
      </c>
      <c r="J19" s="16"/>
      <c r="K19" s="17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0">
        <v>14.0</v>
      </c>
      <c r="B20" s="11" t="s">
        <v>14</v>
      </c>
      <c r="C20" s="11" t="s">
        <v>15</v>
      </c>
      <c r="D20" s="11" t="s">
        <v>83</v>
      </c>
      <c r="E20" s="11" t="s">
        <v>84</v>
      </c>
      <c r="F20" s="11" t="s">
        <v>56</v>
      </c>
      <c r="G20" s="13"/>
      <c r="H20" s="14" t="str">
        <f t="shared" si="1"/>
        <v>✓</v>
      </c>
      <c r="I20" s="15">
        <v>2025.0</v>
      </c>
      <c r="J20" s="16"/>
      <c r="K20" s="17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</sheetData>
  <mergeCells count="4">
    <mergeCell ref="A1:K1"/>
    <mergeCell ref="A2:K2"/>
    <mergeCell ref="A3:K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5"/>
    <col customWidth="1" min="3" max="3" width="24.25"/>
    <col customWidth="1" min="4" max="4" width="19.13"/>
    <col customWidth="1" min="5" max="5" width="25.88"/>
    <col customWidth="1" min="6" max="6" width="43.75"/>
    <col customWidth="1" min="8" max="8" width="5.13"/>
    <col customWidth="1" min="9" max="9" width="9.88"/>
    <col customWidth="1" min="10" max="10" width="5.0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1" t="s">
        <v>14</v>
      </c>
      <c r="C7" s="11" t="s">
        <v>16</v>
      </c>
      <c r="D7" s="11" t="s">
        <v>19</v>
      </c>
      <c r="E7" s="11" t="s">
        <v>21</v>
      </c>
      <c r="F7" s="11" t="s">
        <v>22</v>
      </c>
      <c r="G7" s="13"/>
      <c r="H7" s="14" t="str">
        <f t="shared" ref="H7:H15" si="1">IF(I7&lt;&gt;"","✓","")</f>
        <v>✓</v>
      </c>
      <c r="I7" s="15">
        <v>2025.0</v>
      </c>
      <c r="J7" s="16"/>
      <c r="K7" s="1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1" t="s">
        <v>14</v>
      </c>
      <c r="C8" s="11" t="s">
        <v>16</v>
      </c>
      <c r="D8" s="11" t="s">
        <v>30</v>
      </c>
      <c r="E8" s="11" t="s">
        <v>33</v>
      </c>
      <c r="F8" s="11" t="s">
        <v>35</v>
      </c>
      <c r="G8" s="13"/>
      <c r="H8" s="14" t="str">
        <f t="shared" si="1"/>
        <v>✓</v>
      </c>
      <c r="I8" s="15">
        <v>2025.0</v>
      </c>
      <c r="J8" s="16"/>
      <c r="K8" s="1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1" t="s">
        <v>14</v>
      </c>
      <c r="C9" s="11" t="s">
        <v>16</v>
      </c>
      <c r="D9" s="11" t="s">
        <v>39</v>
      </c>
      <c r="E9" s="11" t="s">
        <v>40</v>
      </c>
      <c r="F9" s="11" t="s">
        <v>41</v>
      </c>
      <c r="G9" s="13"/>
      <c r="H9" s="14" t="str">
        <f t="shared" si="1"/>
        <v>✓</v>
      </c>
      <c r="I9" s="15">
        <v>2025.0</v>
      </c>
      <c r="J9" s="16"/>
      <c r="K9" s="1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">
        <v>4.0</v>
      </c>
      <c r="B10" s="11" t="s">
        <v>14</v>
      </c>
      <c r="C10" s="11" t="s">
        <v>16</v>
      </c>
      <c r="D10" s="11" t="s">
        <v>45</v>
      </c>
      <c r="E10" s="11" t="s">
        <v>46</v>
      </c>
      <c r="F10" s="11" t="s">
        <v>47</v>
      </c>
      <c r="G10" s="13"/>
      <c r="H10" s="14" t="str">
        <f t="shared" si="1"/>
        <v>✓</v>
      </c>
      <c r="I10" s="15">
        <v>2025.0</v>
      </c>
      <c r="J10" s="16"/>
      <c r="K10" s="1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>
        <v>5.0</v>
      </c>
      <c r="B11" s="11" t="s">
        <v>14</v>
      </c>
      <c r="C11" s="11" t="s">
        <v>16</v>
      </c>
      <c r="D11" s="11" t="s">
        <v>51</v>
      </c>
      <c r="E11" s="11" t="s">
        <v>52</v>
      </c>
      <c r="F11" s="11" t="s">
        <v>53</v>
      </c>
      <c r="G11" s="13"/>
      <c r="H11" s="14" t="str">
        <f t="shared" si="1"/>
        <v>✓</v>
      </c>
      <c r="I11" s="15">
        <v>2025.0</v>
      </c>
      <c r="J11" s="16"/>
      <c r="K11" s="1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0">
        <v>6.0</v>
      </c>
      <c r="B12" s="11" t="s">
        <v>14</v>
      </c>
      <c r="C12" s="11" t="s">
        <v>16</v>
      </c>
      <c r="D12" s="11" t="s">
        <v>57</v>
      </c>
      <c r="E12" s="11" t="s">
        <v>58</v>
      </c>
      <c r="F12" s="11" t="s">
        <v>59</v>
      </c>
      <c r="G12" s="13"/>
      <c r="H12" s="14" t="str">
        <f t="shared" si="1"/>
        <v>✓</v>
      </c>
      <c r="I12" s="15">
        <v>2025.0</v>
      </c>
      <c r="J12" s="16"/>
      <c r="K12" s="1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">
        <v>7.0</v>
      </c>
      <c r="B13" s="11" t="s">
        <v>14</v>
      </c>
      <c r="C13" s="11" t="s">
        <v>16</v>
      </c>
      <c r="D13" s="11" t="s">
        <v>62</v>
      </c>
      <c r="E13" s="11" t="s">
        <v>63</v>
      </c>
      <c r="F13" s="11" t="s">
        <v>65</v>
      </c>
      <c r="G13" s="13"/>
      <c r="H13" s="14" t="str">
        <f t="shared" si="1"/>
        <v>✓</v>
      </c>
      <c r="I13" s="15">
        <v>2025.0</v>
      </c>
      <c r="J13" s="16"/>
      <c r="K13" s="1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0">
        <v>8.0</v>
      </c>
      <c r="B14" s="11" t="s">
        <v>14</v>
      </c>
      <c r="C14" s="11" t="s">
        <v>16</v>
      </c>
      <c r="D14" s="11" t="s">
        <v>69</v>
      </c>
      <c r="E14" s="11">
        <v>1.50310410785006E15</v>
      </c>
      <c r="F14" s="11" t="s">
        <v>71</v>
      </c>
      <c r="G14" s="13"/>
      <c r="H14" s="14" t="str">
        <f t="shared" si="1"/>
        <v>✓</v>
      </c>
      <c r="I14" s="15">
        <v>2025.0</v>
      </c>
      <c r="J14" s="16"/>
      <c r="K14" s="1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0">
        <v>9.0</v>
      </c>
      <c r="B15" s="11" t="s">
        <v>14</v>
      </c>
      <c r="C15" s="11" t="s">
        <v>16</v>
      </c>
      <c r="D15" s="11" t="s">
        <v>75</v>
      </c>
      <c r="E15" s="11" t="s">
        <v>76</v>
      </c>
      <c r="F15" s="11" t="s">
        <v>44</v>
      </c>
      <c r="G15" s="13"/>
      <c r="H15" s="14" t="str">
        <f t="shared" si="1"/>
        <v>✓</v>
      </c>
      <c r="I15" s="15">
        <v>2025.0</v>
      </c>
      <c r="J15" s="16"/>
      <c r="K15" s="1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</sheetData>
  <mergeCells count="4">
    <mergeCell ref="A1:K1"/>
    <mergeCell ref="A2:K2"/>
    <mergeCell ref="A3:K3"/>
    <mergeCell ref="H6:I6"/>
  </mergeCells>
  <drawing r:id="rId1"/>
</worksheet>
</file>