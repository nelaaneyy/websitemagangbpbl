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INTUN" sheetId="1" r:id="rId5"/>
    <sheet state="visible" name="PENGEDARAN" sheetId="2" r:id="rId6"/>
    <sheet state="visible" name="BATU KUCING" sheetId="3" r:id="rId7"/>
    <sheet state="visible" name="DANAU SERDANG" sheetId="4" r:id="rId8"/>
    <sheet state="visible" name="KARANG MENDAPO" sheetId="5" r:id="rId9"/>
    <sheet state="visible" name="KASANG MELINTANG" sheetId="6" r:id="rId10"/>
    <sheet state="visible" name="LUBUK NAPAL" sheetId="7" r:id="rId11"/>
    <sheet state="visible" name="SEKO BESAR" sheetId="8" r:id="rId12"/>
    <sheet state="visible" name="SEMARAN" sheetId="9" r:id="rId13"/>
    <sheet state="visible" name="TAMAN BANDUNG" sheetId="10" r:id="rId14"/>
  </sheets>
  <definedNames/>
  <calcPr/>
</workbook>
</file>

<file path=xl/sharedStrings.xml><?xml version="1.0" encoding="utf-8"?>
<sst xmlns="http://schemas.openxmlformats.org/spreadsheetml/2006/main" count="574" uniqueCount="230">
  <si>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</si>
  <si>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</si>
  <si>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</si>
  <si>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</si>
  <si>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</si>
  <si>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</si>
  <si>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</si>
  <si>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</si>
  <si>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</si>
  <si>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</si>
  <si>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</si>
  <si>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</si>
  <si>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</si>
  <si>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</si>
  <si>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PAUH</t>
  </si>
  <si>
    <t>SEPINTUN</t>
  </si>
  <si>
    <t>ANDRI NOVIANTO</t>
  </si>
  <si>
    <t>1404052511960002</t>
  </si>
  <si>
    <t>PANGEDARAN</t>
  </si>
  <si>
    <t>ADE PURNOMO</t>
  </si>
  <si>
    <t>1503042207920002</t>
  </si>
  <si>
    <t>RT. 05 DUSUN III</t>
  </si>
  <si>
    <t>RT. 03</t>
  </si>
  <si>
    <t>DANAU SERDANG</t>
  </si>
  <si>
    <t>AHMAD SOLIHIN</t>
  </si>
  <si>
    <t>1502060302930001</t>
  </si>
  <si>
    <t>RT003</t>
  </si>
  <si>
    <t>BATU KUCING</t>
  </si>
  <si>
    <t>FATMA</t>
  </si>
  <si>
    <t>1503044101730007</t>
  </si>
  <si>
    <t>ANJAR</t>
  </si>
  <si>
    <t>1503042703590001</t>
  </si>
  <si>
    <t>RT. 06 DUSUN III</t>
  </si>
  <si>
    <t>EDISON</t>
  </si>
  <si>
    <t>1503070201700001</t>
  </si>
  <si>
    <t>RT 005</t>
  </si>
  <si>
    <t>DEDEK NABAWI</t>
  </si>
  <si>
    <t>1503051607950004</t>
  </si>
  <si>
    <t>ERNAWATI</t>
  </si>
  <si>
    <t>1503044406850005</t>
  </si>
  <si>
    <t>RT 05</t>
  </si>
  <si>
    <t>KARDONO</t>
  </si>
  <si>
    <t>1503041707660001</t>
  </si>
  <si>
    <t>RT 01</t>
  </si>
  <si>
    <t>ADESAPUTRA</t>
  </si>
  <si>
    <t>1503040511980002</t>
  </si>
  <si>
    <t>EDI RIWANSYAH GINTING</t>
  </si>
  <si>
    <t>RT. 04</t>
  </si>
  <si>
    <t>1207311411840001</t>
  </si>
  <si>
    <t>IDRIS</t>
  </si>
  <si>
    <t>1503040404690001</t>
  </si>
  <si>
    <t>MAISURI</t>
  </si>
  <si>
    <t>1610155006780001</t>
  </si>
  <si>
    <t>DANAU SERDANG RT 001</t>
  </si>
  <si>
    <t>IHWAN</t>
  </si>
  <si>
    <t>1503041506040002</t>
  </si>
  <si>
    <t>RT. 13 DUSUN II</t>
  </si>
  <si>
    <t>MUHIBAH</t>
  </si>
  <si>
    <t>1503045707630001</t>
  </si>
  <si>
    <t>ASNAWI FIRMASAH</t>
  </si>
  <si>
    <t>1503042505990003</t>
  </si>
  <si>
    <t>RIDUAN</t>
  </si>
  <si>
    <t>ISKANDAR</t>
  </si>
  <si>
    <t>1503040503490001</t>
  </si>
  <si>
    <t>1503044806670002</t>
  </si>
  <si>
    <t>BATU KUCING RT04</t>
  </si>
  <si>
    <t>RT. 04 DUSUN II</t>
  </si>
  <si>
    <t>SAGINO</t>
  </si>
  <si>
    <t>1805202806910003</t>
  </si>
  <si>
    <t>RT 08</t>
  </si>
  <si>
    <t>CITRA SAPUTRA</t>
  </si>
  <si>
    <t>1503040808890004</t>
  </si>
  <si>
    <t>JUNAIDI</t>
  </si>
  <si>
    <t>1503021002600001</t>
  </si>
  <si>
    <t>SITI NURMAH</t>
  </si>
  <si>
    <t>1503064311820003</t>
  </si>
  <si>
    <t>ROHIANA</t>
  </si>
  <si>
    <t>1503040107730501</t>
  </si>
  <si>
    <t>KADAR</t>
  </si>
  <si>
    <t>1503041208620001</t>
  </si>
  <si>
    <t>SRI SUNDARI</t>
  </si>
  <si>
    <t>1503045112450001</t>
  </si>
  <si>
    <t>RT 002</t>
  </si>
  <si>
    <t>JONI</t>
  </si>
  <si>
    <t>1503040508480001</t>
  </si>
  <si>
    <t>RT. 01</t>
  </si>
  <si>
    <t>KLIWON</t>
  </si>
  <si>
    <t>1503042912660001</t>
  </si>
  <si>
    <t>SUSANTI</t>
  </si>
  <si>
    <t>1503045005930003</t>
  </si>
  <si>
    <t>BATU KUCING DUSUN</t>
  </si>
  <si>
    <t>JUANA NURKASIH</t>
  </si>
  <si>
    <t>1503046102080001</t>
  </si>
  <si>
    <t>MARUL</t>
  </si>
  <si>
    <t>1503044104690002</t>
  </si>
  <si>
    <t>RT. 01 DUSUN I</t>
  </si>
  <si>
    <t>KHOIRUL AZWAR</t>
  </si>
  <si>
    <t>1503041805020001</t>
  </si>
  <si>
    <t>TOP SIJA</t>
  </si>
  <si>
    <t>1503044105490001</t>
  </si>
  <si>
    <t>M HAFPIZ</t>
  </si>
  <si>
    <t>MUGIONO</t>
  </si>
  <si>
    <t>1503041010850004</t>
  </si>
  <si>
    <t>1503090908620001</t>
  </si>
  <si>
    <t>NAZIRMAN</t>
  </si>
  <si>
    <t>ROSMIATI</t>
  </si>
  <si>
    <t>1503040306830004</t>
  </si>
  <si>
    <t>1503044909700001</t>
  </si>
  <si>
    <t>RT. 02</t>
  </si>
  <si>
    <t>NURBAITI</t>
  </si>
  <si>
    <t>1503044203620002</t>
  </si>
  <si>
    <t>ZAIDAR</t>
  </si>
  <si>
    <t>1503044807620001</t>
  </si>
  <si>
    <t>RADEN</t>
  </si>
  <si>
    <t>1503042606450001</t>
  </si>
  <si>
    <t>RASIMIN</t>
  </si>
  <si>
    <t>1503041708780006</t>
  </si>
  <si>
    <t>RIDHO AULIA PUTRA</t>
  </si>
  <si>
    <t>1503041905000001</t>
  </si>
  <si>
    <t>RIPALDO</t>
  </si>
  <si>
    <t>1503041008960003</t>
  </si>
  <si>
    <t>SAMSUDIN</t>
  </si>
  <si>
    <t>1503041005640003</t>
  </si>
  <si>
    <t>SAMSURI</t>
  </si>
  <si>
    <t>1503040406630003</t>
  </si>
  <si>
    <t>SOPYAN</t>
  </si>
  <si>
    <t>1605050107670048</t>
  </si>
  <si>
    <t>SUKI</t>
  </si>
  <si>
    <t>1503046008670002</t>
  </si>
  <si>
    <t>SULBIA</t>
  </si>
  <si>
    <t>1503045205580004</t>
  </si>
  <si>
    <t>TARJO</t>
  </si>
  <si>
    <t>1503041708330001</t>
  </si>
  <si>
    <t>ZULPIKAR</t>
  </si>
  <si>
    <t>1503020107860183</t>
  </si>
  <si>
    <t>KARANG MENDAPO</t>
  </si>
  <si>
    <t>HAYUN SOLEHA</t>
  </si>
  <si>
    <t>1503066912950002</t>
  </si>
  <si>
    <t>SITI AISYAH</t>
  </si>
  <si>
    <t>1503044612870004</t>
  </si>
  <si>
    <t>RT 04</t>
  </si>
  <si>
    <t>KASANG MELINTANG</t>
  </si>
  <si>
    <t>HERMANTO</t>
  </si>
  <si>
    <t>1503041603890001</t>
  </si>
  <si>
    <t>LUBUK NAPAL</t>
  </si>
  <si>
    <t>DANDI MAHIRWAN</t>
  </si>
  <si>
    <t>1503050210000003</t>
  </si>
  <si>
    <t>DSN. BERINGIN RT. 001</t>
  </si>
  <si>
    <t>DONI</t>
  </si>
  <si>
    <t>1503040705940003</t>
  </si>
  <si>
    <t>DSN. PEMATANG BANTAN RT.004</t>
  </si>
  <si>
    <t>RICHO JULIANSAH</t>
  </si>
  <si>
    <t>1503041807950003</t>
  </si>
  <si>
    <t>DSN. SUKA MAJU RT. 005</t>
  </si>
  <si>
    <t>RUKNA</t>
  </si>
  <si>
    <t>1503044107630314</t>
  </si>
  <si>
    <t>DUSUN LUBUK NAPAL</t>
  </si>
  <si>
    <t>RUSMI</t>
  </si>
  <si>
    <t>1503044107500052</t>
  </si>
  <si>
    <t>YAYAN APRIZAL</t>
  </si>
  <si>
    <t>1503040102880014</t>
  </si>
  <si>
    <t>YONI</t>
  </si>
  <si>
    <t>1503040809640002</t>
  </si>
  <si>
    <t>SEKO BESAR</t>
  </si>
  <si>
    <t>ABDULLAH</t>
  </si>
  <si>
    <t>1503041207550002</t>
  </si>
  <si>
    <t>JL.SAKURA RT 010</t>
  </si>
  <si>
    <t>DIDIT SAPUTRA</t>
  </si>
  <si>
    <t>1503040107990336</t>
  </si>
  <si>
    <t>DUSUN SEKO BESAR</t>
  </si>
  <si>
    <t>HERA WATI</t>
  </si>
  <si>
    <t>1503044511630001</t>
  </si>
  <si>
    <t>KHAIRUL MUBIN</t>
  </si>
  <si>
    <t>1503040803980002</t>
  </si>
  <si>
    <t>M.SUNANDAR</t>
  </si>
  <si>
    <t>1503042401890001</t>
  </si>
  <si>
    <t>MLYEK</t>
  </si>
  <si>
    <t>1503046101420001</t>
  </si>
  <si>
    <t>PUJI PRASETYO</t>
  </si>
  <si>
    <t>1503041704980001</t>
  </si>
  <si>
    <t>SUHERMAN</t>
  </si>
  <si>
    <t>1503041408030002</t>
  </si>
  <si>
    <t>JL.KENANGA RT006</t>
  </si>
  <si>
    <t>SUNARYO</t>
  </si>
  <si>
    <t>1503041905900002</t>
  </si>
  <si>
    <t>SUSANTO</t>
  </si>
  <si>
    <t>1503040305900004</t>
  </si>
  <si>
    <t>SEMARAN</t>
  </si>
  <si>
    <t>DINA SURYANI</t>
  </si>
  <si>
    <t>1503064901980002</t>
  </si>
  <si>
    <t>RT08</t>
  </si>
  <si>
    <t>ENI</t>
  </si>
  <si>
    <t>1503045308670001</t>
  </si>
  <si>
    <t>RT 02</t>
  </si>
  <si>
    <t>KUSMIATI</t>
  </si>
  <si>
    <t>1503045307760002</t>
  </si>
  <si>
    <t>MARIANA</t>
  </si>
  <si>
    <t>1503044405510003</t>
  </si>
  <si>
    <t>RT 09</t>
  </si>
  <si>
    <t>MEGAWATI SIREGAR</t>
  </si>
  <si>
    <t>1503047006780004</t>
  </si>
  <si>
    <t>RT 06</t>
  </si>
  <si>
    <t>PERONTINA</t>
  </si>
  <si>
    <t>1503045204940002</t>
  </si>
  <si>
    <t>SUKAWI</t>
  </si>
  <si>
    <t>1503040107660205</t>
  </si>
  <si>
    <t>RT 11</t>
  </si>
  <si>
    <t>SURI YANA</t>
  </si>
  <si>
    <t>1503045504450001</t>
  </si>
  <si>
    <t>RT 07</t>
  </si>
  <si>
    <t>TAMAN BANDUNG</t>
  </si>
  <si>
    <t>FAUZAN JANIKA</t>
  </si>
  <si>
    <t>1301011312950001</t>
  </si>
  <si>
    <t>HABIB</t>
  </si>
  <si>
    <t>1501110210950001</t>
  </si>
  <si>
    <t>HATIMAH</t>
  </si>
  <si>
    <t>1503044110760023</t>
  </si>
  <si>
    <t>JEBUL MAN TUBILA</t>
  </si>
  <si>
    <t>1503042707920005</t>
  </si>
  <si>
    <t>JEBUL MUNASRI</t>
  </si>
  <si>
    <t>1803071208620007</t>
  </si>
  <si>
    <t>DUSUN TAMAN BANDUNG</t>
  </si>
  <si>
    <t>KUSTIYO</t>
  </si>
  <si>
    <t>1503042501950001</t>
  </si>
  <si>
    <t>NANDA OCTRIA</t>
  </si>
  <si>
    <t>1501110210450001</t>
  </si>
  <si>
    <t>NURAINA</t>
  </si>
  <si>
    <t>1503046609820001</t>
  </si>
  <si>
    <t>ROHMAT WADOLI</t>
  </si>
  <si>
    <t>1801220303980001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</si>
</sst>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8.38"/>
    <col customWidth="1" min="4" max="4" width="26.0"/>
    <col customWidth="1" min="5" max="5" width="25.0"/>
    <col customWidth="1" min="6" max="6" width="33.75"/>
    <col customWidth="1" min="8" max="8" width="5.0"/>
    <col customWidth="1" min="10" max="10" width="9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3" t="s">
        <v>17</v>
      </c>
      <c r="F7" s="12" t="s">
        <v>21</v>
      </c>
      <c r="G7" s="13">
        <v>2026.0</v>
      </c>
      <c r="H7" s="18" t="str">
        <f t="shared" ref="H7:H30" si="1">IF(I7&lt;&gt;"","✓","")</f>
        <v/>
      </c>
      <c r="I7" s="19"/>
      <c r="J7" s="20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2" t="s">
        <v>30</v>
      </c>
      <c r="E8" s="13" t="s">
        <v>31</v>
      </c>
      <c r="F8" s="12" t="s">
        <v>32</v>
      </c>
      <c r="G8" s="13">
        <v>2026.0</v>
      </c>
      <c r="H8" s="18" t="str">
        <f t="shared" si="1"/>
        <v/>
      </c>
      <c r="I8" s="19"/>
      <c r="J8" s="20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2" t="s">
        <v>36</v>
      </c>
      <c r="E9" s="13" t="s">
        <v>37</v>
      </c>
      <c r="F9" s="12" t="s">
        <v>21</v>
      </c>
      <c r="G9" s="13">
        <v>2026.0</v>
      </c>
      <c r="H9" s="18" t="str">
        <f t="shared" si="1"/>
        <v/>
      </c>
      <c r="I9" s="19"/>
      <c r="J9" s="20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2" t="s">
        <v>46</v>
      </c>
      <c r="E10" s="13" t="s">
        <v>48</v>
      </c>
      <c r="F10" s="12" t="s">
        <v>21</v>
      </c>
      <c r="G10" s="13">
        <v>2026.0</v>
      </c>
      <c r="H10" s="18" t="str">
        <f t="shared" si="1"/>
        <v/>
      </c>
      <c r="I10" s="22"/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2" t="s">
        <v>54</v>
      </c>
      <c r="E11" s="13" t="s">
        <v>55</v>
      </c>
      <c r="F11" s="12" t="s">
        <v>56</v>
      </c>
      <c r="G11" s="13">
        <v>2026.0</v>
      </c>
      <c r="H11" s="18" t="str">
        <f t="shared" si="1"/>
        <v/>
      </c>
      <c r="I11" s="19"/>
      <c r="J11" s="20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2" t="s">
        <v>62</v>
      </c>
      <c r="E12" s="13" t="s">
        <v>64</v>
      </c>
      <c r="F12" s="12" t="s">
        <v>66</v>
      </c>
      <c r="G12" s="13">
        <v>2026.0</v>
      </c>
      <c r="H12" s="18" t="str">
        <f t="shared" si="1"/>
        <v/>
      </c>
      <c r="I12" s="19"/>
      <c r="J12" s="20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2" t="s">
        <v>72</v>
      </c>
      <c r="E13" s="13" t="s">
        <v>73</v>
      </c>
      <c r="F13" s="12" t="s">
        <v>21</v>
      </c>
      <c r="G13" s="13">
        <v>2026.0</v>
      </c>
      <c r="H13" s="18" t="str">
        <f t="shared" si="1"/>
        <v/>
      </c>
      <c r="I13" s="19"/>
      <c r="J13" s="20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2" t="s">
        <v>78</v>
      </c>
      <c r="E14" s="13" t="s">
        <v>79</v>
      </c>
      <c r="F14" s="12" t="s">
        <v>21</v>
      </c>
      <c r="G14" s="13">
        <v>2026.0</v>
      </c>
      <c r="H14" s="18" t="str">
        <f t="shared" si="1"/>
        <v/>
      </c>
      <c r="I14" s="19"/>
      <c r="J14" s="20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2" t="s">
        <v>86</v>
      </c>
      <c r="E15" s="13" t="s">
        <v>87</v>
      </c>
      <c r="F15" s="12" t="s">
        <v>21</v>
      </c>
      <c r="G15" s="13">
        <v>2026.0</v>
      </c>
      <c r="H15" s="18" t="str">
        <f t="shared" si="1"/>
        <v/>
      </c>
      <c r="I15" s="22"/>
      <c r="J15" s="16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2" t="s">
        <v>93</v>
      </c>
      <c r="E16" s="13" t="s">
        <v>94</v>
      </c>
      <c r="F16" s="12" t="s">
        <v>95</v>
      </c>
      <c r="G16" s="13">
        <v>2026.0</v>
      </c>
      <c r="H16" s="18" t="str">
        <f t="shared" si="1"/>
        <v/>
      </c>
      <c r="I16" s="19"/>
      <c r="J16" s="20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2" t="s">
        <v>101</v>
      </c>
      <c r="E17" s="13" t="s">
        <v>103</v>
      </c>
      <c r="F17" s="12" t="s">
        <v>32</v>
      </c>
      <c r="G17" s="13">
        <v>2026.0</v>
      </c>
      <c r="H17" s="18" t="str">
        <f t="shared" si="1"/>
        <v/>
      </c>
      <c r="I17" s="19"/>
      <c r="J17" s="20"/>
      <c r="K17" s="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2" t="s">
        <v>104</v>
      </c>
      <c r="E18" s="13" t="s">
        <v>106</v>
      </c>
      <c r="F18" s="12" t="s">
        <v>66</v>
      </c>
      <c r="G18" s="13">
        <v>2026.0</v>
      </c>
      <c r="H18" s="18" t="str">
        <f t="shared" si="1"/>
        <v/>
      </c>
      <c r="I18" s="19"/>
      <c r="J18" s="20"/>
      <c r="K18" s="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2" t="s">
        <v>109</v>
      </c>
      <c r="E19" s="13" t="s">
        <v>110</v>
      </c>
      <c r="F19" s="12" t="s">
        <v>95</v>
      </c>
      <c r="G19" s="13">
        <v>2026.0</v>
      </c>
      <c r="H19" s="18" t="str">
        <f t="shared" si="1"/>
        <v/>
      </c>
      <c r="I19" s="19"/>
      <c r="J19" s="20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2" t="s">
        <v>113</v>
      </c>
      <c r="E20" s="13" t="s">
        <v>114</v>
      </c>
      <c r="F20" s="12" t="s">
        <v>95</v>
      </c>
      <c r="G20" s="13">
        <v>2026.0</v>
      </c>
      <c r="H20" s="18" t="str">
        <f t="shared" si="1"/>
        <v/>
      </c>
      <c r="I20" s="22"/>
      <c r="J20" s="16"/>
      <c r="K20" s="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2" t="s">
        <v>115</v>
      </c>
      <c r="E21" s="13" t="s">
        <v>116</v>
      </c>
      <c r="F21" s="12" t="s">
        <v>21</v>
      </c>
      <c r="G21" s="13">
        <v>2026.0</v>
      </c>
      <c r="H21" s="18" t="str">
        <f t="shared" si="1"/>
        <v/>
      </c>
      <c r="I21" s="19"/>
      <c r="J21" s="20"/>
      <c r="K21" s="2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2" t="s">
        <v>117</v>
      </c>
      <c r="E22" s="13" t="s">
        <v>118</v>
      </c>
      <c r="F22" s="12" t="s">
        <v>66</v>
      </c>
      <c r="G22" s="13">
        <v>2026.0</v>
      </c>
      <c r="H22" s="18" t="str">
        <f t="shared" si="1"/>
        <v/>
      </c>
      <c r="I22" s="19"/>
      <c r="J22" s="20"/>
      <c r="K22" s="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2" t="s">
        <v>119</v>
      </c>
      <c r="E23" s="13" t="s">
        <v>120</v>
      </c>
      <c r="F23" s="12" t="s">
        <v>95</v>
      </c>
      <c r="G23" s="13">
        <v>2026.0</v>
      </c>
      <c r="H23" s="18" t="str">
        <f t="shared" si="1"/>
        <v/>
      </c>
      <c r="I23" s="19"/>
      <c r="J23" s="20"/>
      <c r="K23" s="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2" t="s">
        <v>121</v>
      </c>
      <c r="E24" s="13" t="s">
        <v>122</v>
      </c>
      <c r="F24" s="12" t="s">
        <v>32</v>
      </c>
      <c r="G24" s="13">
        <v>2026.0</v>
      </c>
      <c r="H24" s="18" t="str">
        <f t="shared" si="1"/>
        <v/>
      </c>
      <c r="I24" s="19"/>
      <c r="J24" s="20"/>
      <c r="K24" s="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2" t="s">
        <v>123</v>
      </c>
      <c r="E25" s="13" t="s">
        <v>124</v>
      </c>
      <c r="F25" s="12" t="s">
        <v>95</v>
      </c>
      <c r="G25" s="13">
        <v>2026.0</v>
      </c>
      <c r="H25" s="18" t="str">
        <f t="shared" si="1"/>
        <v/>
      </c>
      <c r="I25" s="22"/>
      <c r="J25" s="16"/>
      <c r="K25" s="2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</v>
      </c>
      <c r="D26" s="12" t="s">
        <v>125</v>
      </c>
      <c r="E26" s="13" t="s">
        <v>126</v>
      </c>
      <c r="F26" s="12" t="s">
        <v>21</v>
      </c>
      <c r="G26" s="13">
        <v>2026.0</v>
      </c>
      <c r="H26" s="18" t="str">
        <f t="shared" si="1"/>
        <v/>
      </c>
      <c r="I26" s="19"/>
      <c r="J26" s="20"/>
      <c r="K26" s="2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15</v>
      </c>
      <c r="D27" s="12" t="s">
        <v>127</v>
      </c>
      <c r="E27" s="13" t="s">
        <v>128</v>
      </c>
      <c r="F27" s="12" t="s">
        <v>95</v>
      </c>
      <c r="G27" s="13">
        <v>2026.0</v>
      </c>
      <c r="H27" s="18" t="str">
        <f t="shared" si="1"/>
        <v/>
      </c>
      <c r="I27" s="19"/>
      <c r="J27" s="20"/>
      <c r="K27" s="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15</v>
      </c>
      <c r="D28" s="12" t="s">
        <v>129</v>
      </c>
      <c r="E28" s="13" t="s">
        <v>130</v>
      </c>
      <c r="F28" s="12" t="s">
        <v>32</v>
      </c>
      <c r="G28" s="13">
        <v>2026.0</v>
      </c>
      <c r="H28" s="18" t="str">
        <f t="shared" si="1"/>
        <v/>
      </c>
      <c r="I28" s="19"/>
      <c r="J28" s="20"/>
      <c r="K28" s="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15</v>
      </c>
      <c r="D29" s="12" t="s">
        <v>131</v>
      </c>
      <c r="E29" s="13" t="s">
        <v>132</v>
      </c>
      <c r="F29" s="12" t="s">
        <v>21</v>
      </c>
      <c r="G29" s="13">
        <v>2026.0</v>
      </c>
      <c r="H29" s="18" t="str">
        <f t="shared" si="1"/>
        <v/>
      </c>
      <c r="I29" s="19"/>
      <c r="J29" s="20"/>
      <c r="K29" s="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15</v>
      </c>
      <c r="D30" s="12" t="s">
        <v>133</v>
      </c>
      <c r="E30" s="13" t="s">
        <v>134</v>
      </c>
      <c r="F30" s="12" t="s">
        <v>32</v>
      </c>
      <c r="G30" s="13">
        <v>2026.0</v>
      </c>
      <c r="H30" s="18" t="str">
        <f t="shared" si="1"/>
        <v/>
      </c>
      <c r="I30" s="22"/>
      <c r="J30" s="16"/>
      <c r="K30" s="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8.38"/>
    <col customWidth="1" min="4" max="4" width="26.0"/>
    <col customWidth="1" min="5" max="5" width="25.0"/>
    <col customWidth="1" min="6" max="6" width="33.75"/>
    <col customWidth="1" min="8" max="8" width="5.0"/>
    <col customWidth="1" min="10" max="10" width="9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18</v>
      </c>
      <c r="D7" s="12" t="s">
        <v>19</v>
      </c>
      <c r="E7" s="13" t="s">
        <v>20</v>
      </c>
      <c r="F7" s="12" t="s">
        <v>22</v>
      </c>
      <c r="G7" s="13">
        <v>2026.0</v>
      </c>
      <c r="H7" s="18" t="str">
        <f t="shared" ref="H7:H17" si="1">IF(I7&lt;&gt;"","✓","")</f>
        <v/>
      </c>
      <c r="I7" s="19"/>
      <c r="J7" s="20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18</v>
      </c>
      <c r="D8" s="12" t="s">
        <v>44</v>
      </c>
      <c r="E8" s="13" t="s">
        <v>45</v>
      </c>
      <c r="F8" s="12" t="s">
        <v>47</v>
      </c>
      <c r="G8" s="13">
        <v>2026.0</v>
      </c>
      <c r="H8" s="18" t="str">
        <f t="shared" si="1"/>
        <v/>
      </c>
      <c r="I8" s="19"/>
      <c r="J8" s="20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18</v>
      </c>
      <c r="D9" s="12" t="s">
        <v>59</v>
      </c>
      <c r="E9" s="13" t="s">
        <v>60</v>
      </c>
      <c r="F9" s="12" t="s">
        <v>47</v>
      </c>
      <c r="G9" s="13">
        <v>2026.0</v>
      </c>
      <c r="H9" s="18" t="str">
        <f t="shared" si="1"/>
        <v/>
      </c>
      <c r="I9" s="19"/>
      <c r="J9" s="20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18</v>
      </c>
      <c r="D10" s="12" t="s">
        <v>70</v>
      </c>
      <c r="E10" s="13" t="s">
        <v>71</v>
      </c>
      <c r="F10" s="12" t="s">
        <v>47</v>
      </c>
      <c r="G10" s="13">
        <v>2026.0</v>
      </c>
      <c r="H10" s="18" t="str">
        <f t="shared" si="1"/>
        <v/>
      </c>
      <c r="I10" s="19"/>
      <c r="J10" s="20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18</v>
      </c>
      <c r="D11" s="12" t="s">
        <v>62</v>
      </c>
      <c r="E11" s="13" t="s">
        <v>77</v>
      </c>
      <c r="F11" s="12" t="s">
        <v>47</v>
      </c>
      <c r="G11" s="13">
        <v>2026.0</v>
      </c>
      <c r="H11" s="18" t="str">
        <f t="shared" si="1"/>
        <v/>
      </c>
      <c r="I11" s="22"/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18</v>
      </c>
      <c r="D12" s="12" t="s">
        <v>83</v>
      </c>
      <c r="E12" s="13" t="s">
        <v>84</v>
      </c>
      <c r="F12" s="12" t="s">
        <v>85</v>
      </c>
      <c r="G12" s="13">
        <v>2026.0</v>
      </c>
      <c r="H12" s="18" t="str">
        <f t="shared" si="1"/>
        <v/>
      </c>
      <c r="I12" s="19"/>
      <c r="J12" s="20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18</v>
      </c>
      <c r="D13" s="12" t="s">
        <v>91</v>
      </c>
      <c r="E13" s="13" t="s">
        <v>92</v>
      </c>
      <c r="F13" s="12" t="s">
        <v>22</v>
      </c>
      <c r="G13" s="13">
        <v>2026.0</v>
      </c>
      <c r="H13" s="18" t="str">
        <f t="shared" si="1"/>
        <v/>
      </c>
      <c r="I13" s="19"/>
      <c r="J13" s="20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18</v>
      </c>
      <c r="D14" s="12" t="s">
        <v>96</v>
      </c>
      <c r="E14" s="13" t="s">
        <v>97</v>
      </c>
      <c r="F14" s="12" t="s">
        <v>22</v>
      </c>
      <c r="G14" s="13">
        <v>2026.0</v>
      </c>
      <c r="H14" s="18" t="str">
        <f t="shared" si="1"/>
        <v/>
      </c>
      <c r="I14" s="19"/>
      <c r="J14" s="20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18</v>
      </c>
      <c r="D15" s="12" t="s">
        <v>100</v>
      </c>
      <c r="E15" s="13" t="s">
        <v>102</v>
      </c>
      <c r="F15" s="12" t="s">
        <v>47</v>
      </c>
      <c r="G15" s="13">
        <v>2026.0</v>
      </c>
      <c r="H15" s="18" t="str">
        <f t="shared" si="1"/>
        <v/>
      </c>
      <c r="I15" s="19"/>
      <c r="J15" s="20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18</v>
      </c>
      <c r="D16" s="12" t="s">
        <v>105</v>
      </c>
      <c r="E16" s="13" t="s">
        <v>107</v>
      </c>
      <c r="F16" s="12" t="s">
        <v>108</v>
      </c>
      <c r="G16" s="13">
        <v>2026.0</v>
      </c>
      <c r="H16" s="18" t="str">
        <f t="shared" si="1"/>
        <v/>
      </c>
      <c r="I16" s="22"/>
      <c r="J16" s="16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18</v>
      </c>
      <c r="D17" s="12" t="s">
        <v>111</v>
      </c>
      <c r="E17" s="13" t="s">
        <v>112</v>
      </c>
      <c r="F17" s="12" t="s">
        <v>47</v>
      </c>
      <c r="G17" s="13">
        <v>2026.0</v>
      </c>
      <c r="H17" s="18" t="str">
        <f t="shared" si="1"/>
        <v/>
      </c>
      <c r="I17" s="19"/>
      <c r="J17" s="20"/>
      <c r="K17" s="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8.38"/>
    <col customWidth="1" min="4" max="4" width="26.0"/>
    <col customWidth="1" min="5" max="5" width="25.0"/>
    <col customWidth="1" min="6" max="6" width="33.75"/>
    <col customWidth="1" min="8" max="8" width="5.0"/>
    <col customWidth="1" min="10" max="10" width="9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5" t="s">
        <v>14</v>
      </c>
      <c r="C7" s="15" t="s">
        <v>27</v>
      </c>
      <c r="D7" s="15" t="s">
        <v>28</v>
      </c>
      <c r="E7" s="15" t="s">
        <v>29</v>
      </c>
      <c r="F7" s="15" t="s">
        <v>27</v>
      </c>
      <c r="G7" s="17"/>
      <c r="H7" s="18" t="str">
        <f t="shared" ref="H7:H12" si="1">IF(I7&lt;&gt;"","✓","")</f>
        <v>✓</v>
      </c>
      <c r="I7" s="23">
        <v>2025.0</v>
      </c>
      <c r="J7" s="20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5" t="s">
        <v>14</v>
      </c>
      <c r="C8" s="15" t="s">
        <v>27</v>
      </c>
      <c r="D8" s="15" t="s">
        <v>49</v>
      </c>
      <c r="E8" s="15" t="s">
        <v>50</v>
      </c>
      <c r="F8" s="15" t="s">
        <v>27</v>
      </c>
      <c r="G8" s="17"/>
      <c r="H8" s="18" t="str">
        <f t="shared" si="1"/>
        <v>✓</v>
      </c>
      <c r="I8" s="23">
        <v>2025.0</v>
      </c>
      <c r="J8" s="20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5" t="s">
        <v>14</v>
      </c>
      <c r="C9" s="15" t="s">
        <v>27</v>
      </c>
      <c r="D9" s="15" t="s">
        <v>61</v>
      </c>
      <c r="E9" s="15" t="s">
        <v>63</v>
      </c>
      <c r="F9" s="15" t="s">
        <v>65</v>
      </c>
      <c r="G9" s="17"/>
      <c r="H9" s="18" t="str">
        <f t="shared" si="1"/>
        <v>✓</v>
      </c>
      <c r="I9" s="23">
        <v>2025.0</v>
      </c>
      <c r="J9" s="20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5" t="s">
        <v>14</v>
      </c>
      <c r="C10" s="15" t="s">
        <v>27</v>
      </c>
      <c r="D10" s="15" t="s">
        <v>76</v>
      </c>
      <c r="E10" s="15">
        <v>1.50304410757007E15</v>
      </c>
      <c r="F10" s="15" t="s">
        <v>27</v>
      </c>
      <c r="G10" s="17"/>
      <c r="H10" s="18" t="str">
        <f t="shared" si="1"/>
        <v>✓</v>
      </c>
      <c r="I10" s="23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5" t="s">
        <v>14</v>
      </c>
      <c r="C11" s="15" t="s">
        <v>27</v>
      </c>
      <c r="D11" s="15" t="s">
        <v>88</v>
      </c>
      <c r="E11" s="15" t="s">
        <v>89</v>
      </c>
      <c r="F11" s="15" t="s">
        <v>90</v>
      </c>
      <c r="G11" s="17"/>
      <c r="H11" s="18" t="str">
        <f t="shared" si="1"/>
        <v>✓</v>
      </c>
      <c r="I11" s="23">
        <v>2025.0</v>
      </c>
      <c r="J11" s="20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5" t="s">
        <v>14</v>
      </c>
      <c r="C12" s="15" t="s">
        <v>27</v>
      </c>
      <c r="D12" s="15" t="s">
        <v>98</v>
      </c>
      <c r="E12" s="15" t="s">
        <v>99</v>
      </c>
      <c r="F12" s="15" t="s">
        <v>27</v>
      </c>
      <c r="G12" s="17"/>
      <c r="H12" s="18" t="str">
        <f t="shared" si="1"/>
        <v>✓</v>
      </c>
      <c r="I12" s="23">
        <v>2025.0</v>
      </c>
      <c r="J12" s="20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23</v>
      </c>
      <c r="D7" s="14" t="s">
        <v>24</v>
      </c>
      <c r="E7" s="14" t="s">
        <v>25</v>
      </c>
      <c r="F7" s="14" t="s">
        <v>26</v>
      </c>
      <c r="G7" s="16"/>
      <c r="H7" s="18" t="str">
        <f t="shared" ref="H7:H15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23</v>
      </c>
      <c r="D8" s="14" t="s">
        <v>33</v>
      </c>
      <c r="E8" s="14" t="s">
        <v>34</v>
      </c>
      <c r="F8" s="14" t="s">
        <v>35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23</v>
      </c>
      <c r="D9" s="14" t="s">
        <v>38</v>
      </c>
      <c r="E9" s="14" t="s">
        <v>39</v>
      </c>
      <c r="F9" s="14" t="s">
        <v>40</v>
      </c>
      <c r="G9" s="16"/>
      <c r="H9" s="18" t="str">
        <f t="shared" si="1"/>
        <v>✓</v>
      </c>
      <c r="I9" s="21">
        <v>2025.0</v>
      </c>
      <c r="J9" s="16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23</v>
      </c>
      <c r="D10" s="14" t="s">
        <v>41</v>
      </c>
      <c r="E10" s="14" t="s">
        <v>42</v>
      </c>
      <c r="F10" s="14" t="s">
        <v>43</v>
      </c>
      <c r="G10" s="16"/>
      <c r="H10" s="18" t="str">
        <f t="shared" si="1"/>
        <v>✓</v>
      </c>
      <c r="I10" s="21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23</v>
      </c>
      <c r="D11" s="14" t="s">
        <v>51</v>
      </c>
      <c r="E11" s="14" t="s">
        <v>52</v>
      </c>
      <c r="F11" s="14" t="s">
        <v>53</v>
      </c>
      <c r="G11" s="16"/>
      <c r="H11" s="18" t="str">
        <f t="shared" si="1"/>
        <v>✓</v>
      </c>
      <c r="I11" s="21">
        <v>2025.0</v>
      </c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23</v>
      </c>
      <c r="D12" s="14" t="s">
        <v>57</v>
      </c>
      <c r="E12" s="14" t="s">
        <v>58</v>
      </c>
      <c r="F12" s="14" t="s">
        <v>23</v>
      </c>
      <c r="G12" s="16"/>
      <c r="H12" s="18" t="str">
        <f t="shared" si="1"/>
        <v>✓</v>
      </c>
      <c r="I12" s="21">
        <v>2025.0</v>
      </c>
      <c r="J12" s="16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23</v>
      </c>
      <c r="D13" s="14" t="s">
        <v>67</v>
      </c>
      <c r="E13" s="14" t="s">
        <v>68</v>
      </c>
      <c r="F13" s="14" t="s">
        <v>69</v>
      </c>
      <c r="G13" s="16"/>
      <c r="H13" s="18" t="str">
        <f t="shared" si="1"/>
        <v>✓</v>
      </c>
      <c r="I13" s="21">
        <v>2025.0</v>
      </c>
      <c r="J13" s="16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23</v>
      </c>
      <c r="D14" s="14" t="s">
        <v>74</v>
      </c>
      <c r="E14" s="14" t="s">
        <v>75</v>
      </c>
      <c r="F14" s="14" t="s">
        <v>69</v>
      </c>
      <c r="G14" s="16"/>
      <c r="H14" s="18" t="str">
        <f t="shared" si="1"/>
        <v>✓</v>
      </c>
      <c r="I14" s="21">
        <v>2025.0</v>
      </c>
      <c r="J14" s="16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4" t="s">
        <v>14</v>
      </c>
      <c r="C15" s="14" t="s">
        <v>23</v>
      </c>
      <c r="D15" s="14" t="s">
        <v>80</v>
      </c>
      <c r="E15" s="14" t="s">
        <v>81</v>
      </c>
      <c r="F15" s="14" t="s">
        <v>82</v>
      </c>
      <c r="G15" s="16"/>
      <c r="H15" s="18" t="str">
        <f t="shared" si="1"/>
        <v>✓</v>
      </c>
      <c r="I15" s="21">
        <v>2025.0</v>
      </c>
      <c r="J15" s="16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135</v>
      </c>
      <c r="D7" s="14" t="s">
        <v>136</v>
      </c>
      <c r="E7" s="14" t="s">
        <v>137</v>
      </c>
      <c r="F7" s="14" t="s">
        <v>43</v>
      </c>
      <c r="G7" s="16"/>
      <c r="H7" s="18" t="str">
        <f t="shared" ref="H7:H8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135</v>
      </c>
      <c r="D8" s="14" t="s">
        <v>138</v>
      </c>
      <c r="E8" s="14" t="s">
        <v>139</v>
      </c>
      <c r="F8" s="14" t="s">
        <v>140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141</v>
      </c>
      <c r="D7" s="14" t="s">
        <v>142</v>
      </c>
      <c r="E7" s="14" t="s">
        <v>143</v>
      </c>
      <c r="F7" s="14" t="s">
        <v>141</v>
      </c>
      <c r="G7" s="16"/>
      <c r="H7" s="18" t="str">
        <f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144</v>
      </c>
      <c r="D7" s="14" t="s">
        <v>145</v>
      </c>
      <c r="E7" s="14" t="s">
        <v>146</v>
      </c>
      <c r="F7" s="14" t="s">
        <v>147</v>
      </c>
      <c r="G7" s="16"/>
      <c r="H7" s="18" t="str">
        <f t="shared" ref="H7:H13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144</v>
      </c>
      <c r="D8" s="14" t="s">
        <v>148</v>
      </c>
      <c r="E8" s="14" t="s">
        <v>149</v>
      </c>
      <c r="F8" s="14" t="s">
        <v>150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144</v>
      </c>
      <c r="D9" s="14" t="s">
        <v>151</v>
      </c>
      <c r="E9" s="14" t="s">
        <v>152</v>
      </c>
      <c r="F9" s="14" t="s">
        <v>153</v>
      </c>
      <c r="G9" s="16"/>
      <c r="H9" s="18" t="str">
        <f t="shared" si="1"/>
        <v>✓</v>
      </c>
      <c r="I9" s="21">
        <v>2025.0</v>
      </c>
      <c r="J9" s="16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144</v>
      </c>
      <c r="D10" s="14" t="s">
        <v>154</v>
      </c>
      <c r="E10" s="14" t="s">
        <v>155</v>
      </c>
      <c r="F10" s="14" t="s">
        <v>156</v>
      </c>
      <c r="G10" s="16"/>
      <c r="H10" s="18" t="str">
        <f t="shared" si="1"/>
        <v>✓</v>
      </c>
      <c r="I10" s="21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144</v>
      </c>
      <c r="D11" s="14" t="s">
        <v>157</v>
      </c>
      <c r="E11" s="14" t="s">
        <v>158</v>
      </c>
      <c r="F11" s="14" t="s">
        <v>150</v>
      </c>
      <c r="G11" s="16"/>
      <c r="H11" s="18" t="str">
        <f t="shared" si="1"/>
        <v>✓</v>
      </c>
      <c r="I11" s="21">
        <v>2025.0</v>
      </c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144</v>
      </c>
      <c r="D12" s="14" t="s">
        <v>159</v>
      </c>
      <c r="E12" s="14" t="s">
        <v>160</v>
      </c>
      <c r="F12" s="14" t="s">
        <v>156</v>
      </c>
      <c r="G12" s="16"/>
      <c r="H12" s="18" t="str">
        <f t="shared" si="1"/>
        <v>✓</v>
      </c>
      <c r="I12" s="21">
        <v>2025.0</v>
      </c>
      <c r="J12" s="16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144</v>
      </c>
      <c r="D13" s="14" t="s">
        <v>161</v>
      </c>
      <c r="E13" s="14" t="s">
        <v>162</v>
      </c>
      <c r="F13" s="14" t="s">
        <v>156</v>
      </c>
      <c r="G13" s="16"/>
      <c r="H13" s="18" t="str">
        <f t="shared" si="1"/>
        <v>✓</v>
      </c>
      <c r="I13" s="21">
        <v>2025.0</v>
      </c>
      <c r="J13" s="16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163</v>
      </c>
      <c r="D7" s="14" t="s">
        <v>164</v>
      </c>
      <c r="E7" s="14" t="s">
        <v>165</v>
      </c>
      <c r="F7" s="14" t="s">
        <v>166</v>
      </c>
      <c r="G7" s="16"/>
      <c r="H7" s="18" t="str">
        <f t="shared" ref="H7:H16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163</v>
      </c>
      <c r="D8" s="14" t="s">
        <v>167</v>
      </c>
      <c r="E8" s="14" t="s">
        <v>168</v>
      </c>
      <c r="F8" s="14" t="s">
        <v>169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163</v>
      </c>
      <c r="D9" s="14" t="s">
        <v>170</v>
      </c>
      <c r="E9" s="14" t="s">
        <v>171</v>
      </c>
      <c r="F9" s="14" t="s">
        <v>35</v>
      </c>
      <c r="G9" s="16"/>
      <c r="H9" s="18" t="str">
        <f t="shared" si="1"/>
        <v>✓</v>
      </c>
      <c r="I9" s="21">
        <v>2025.0</v>
      </c>
      <c r="J9" s="16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163</v>
      </c>
      <c r="D10" s="14" t="s">
        <v>172</v>
      </c>
      <c r="E10" s="14" t="s">
        <v>173</v>
      </c>
      <c r="F10" s="14" t="s">
        <v>169</v>
      </c>
      <c r="G10" s="16"/>
      <c r="H10" s="18" t="str">
        <f t="shared" si="1"/>
        <v>✓</v>
      </c>
      <c r="I10" s="21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163</v>
      </c>
      <c r="D11" s="14" t="s">
        <v>174</v>
      </c>
      <c r="E11" s="14" t="s">
        <v>175</v>
      </c>
      <c r="F11" s="14" t="s">
        <v>169</v>
      </c>
      <c r="G11" s="16"/>
      <c r="H11" s="18" t="str">
        <f t="shared" si="1"/>
        <v>✓</v>
      </c>
      <c r="I11" s="21">
        <v>2025.0</v>
      </c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163</v>
      </c>
      <c r="D12" s="14" t="s">
        <v>176</v>
      </c>
      <c r="E12" s="14" t="s">
        <v>177</v>
      </c>
      <c r="F12" s="14" t="s">
        <v>35</v>
      </c>
      <c r="G12" s="16"/>
      <c r="H12" s="18" t="str">
        <f t="shared" si="1"/>
        <v>✓</v>
      </c>
      <c r="I12" s="21">
        <v>2025.0</v>
      </c>
      <c r="J12" s="16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163</v>
      </c>
      <c r="D13" s="14" t="s">
        <v>178</v>
      </c>
      <c r="E13" s="14" t="s">
        <v>179</v>
      </c>
      <c r="F13" s="14" t="s">
        <v>166</v>
      </c>
      <c r="G13" s="16"/>
      <c r="H13" s="18" t="str">
        <f t="shared" si="1"/>
        <v>✓</v>
      </c>
      <c r="I13" s="21">
        <v>2025.0</v>
      </c>
      <c r="J13" s="16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163</v>
      </c>
      <c r="D14" s="14" t="s">
        <v>180</v>
      </c>
      <c r="E14" s="14" t="s">
        <v>181</v>
      </c>
      <c r="F14" s="14" t="s">
        <v>182</v>
      </c>
      <c r="G14" s="16"/>
      <c r="H14" s="18" t="str">
        <f t="shared" si="1"/>
        <v>✓</v>
      </c>
      <c r="I14" s="21">
        <v>2025.0</v>
      </c>
      <c r="J14" s="16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4" t="s">
        <v>14</v>
      </c>
      <c r="C15" s="14" t="s">
        <v>163</v>
      </c>
      <c r="D15" s="14" t="s">
        <v>183</v>
      </c>
      <c r="E15" s="14" t="s">
        <v>184</v>
      </c>
      <c r="F15" s="14" t="s">
        <v>169</v>
      </c>
      <c r="G15" s="16"/>
      <c r="H15" s="18" t="str">
        <f t="shared" si="1"/>
        <v>✓</v>
      </c>
      <c r="I15" s="21">
        <v>2025.0</v>
      </c>
      <c r="J15" s="16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4" t="s">
        <v>14</v>
      </c>
      <c r="C16" s="14" t="s">
        <v>163</v>
      </c>
      <c r="D16" s="14" t="s">
        <v>185</v>
      </c>
      <c r="E16" s="14" t="s">
        <v>186</v>
      </c>
      <c r="F16" s="14" t="s">
        <v>169</v>
      </c>
      <c r="G16" s="16"/>
      <c r="H16" s="18" t="str">
        <f t="shared" si="1"/>
        <v>✓</v>
      </c>
      <c r="I16" s="21">
        <v>2025.0</v>
      </c>
      <c r="J16" s="16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187</v>
      </c>
      <c r="D7" s="14" t="s">
        <v>188</v>
      </c>
      <c r="E7" s="14" t="s">
        <v>189</v>
      </c>
      <c r="F7" s="14" t="s">
        <v>190</v>
      </c>
      <c r="G7" s="16"/>
      <c r="H7" s="18" t="str">
        <f t="shared" ref="H7:H14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187</v>
      </c>
      <c r="D8" s="14" t="s">
        <v>191</v>
      </c>
      <c r="E8" s="14" t="s">
        <v>192</v>
      </c>
      <c r="F8" s="14" t="s">
        <v>193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187</v>
      </c>
      <c r="D9" s="14" t="s">
        <v>194</v>
      </c>
      <c r="E9" s="14" t="s">
        <v>195</v>
      </c>
      <c r="F9" s="14" t="s">
        <v>69</v>
      </c>
      <c r="G9" s="16"/>
      <c r="H9" s="18" t="str">
        <f t="shared" si="1"/>
        <v>✓</v>
      </c>
      <c r="I9" s="21">
        <v>2025.0</v>
      </c>
      <c r="J9" s="16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187</v>
      </c>
      <c r="D10" s="14" t="s">
        <v>196</v>
      </c>
      <c r="E10" s="14" t="s">
        <v>197</v>
      </c>
      <c r="F10" s="14" t="s">
        <v>198</v>
      </c>
      <c r="G10" s="16"/>
      <c r="H10" s="18" t="str">
        <f t="shared" si="1"/>
        <v>✓</v>
      </c>
      <c r="I10" s="21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187</v>
      </c>
      <c r="D11" s="14" t="s">
        <v>199</v>
      </c>
      <c r="E11" s="14" t="s">
        <v>200</v>
      </c>
      <c r="F11" s="14" t="s">
        <v>201</v>
      </c>
      <c r="G11" s="16"/>
      <c r="H11" s="18" t="str">
        <f t="shared" si="1"/>
        <v>✓</v>
      </c>
      <c r="I11" s="21">
        <v>2025.0</v>
      </c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187</v>
      </c>
      <c r="D12" s="14" t="s">
        <v>202</v>
      </c>
      <c r="E12" s="14" t="s">
        <v>203</v>
      </c>
      <c r="F12" s="14" t="s">
        <v>140</v>
      </c>
      <c r="G12" s="16"/>
      <c r="H12" s="18" t="str">
        <f t="shared" si="1"/>
        <v>✓</v>
      </c>
      <c r="I12" s="21">
        <v>2025.0</v>
      </c>
      <c r="J12" s="16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187</v>
      </c>
      <c r="D13" s="14" t="s">
        <v>204</v>
      </c>
      <c r="E13" s="14" t="s">
        <v>205</v>
      </c>
      <c r="F13" s="14" t="s">
        <v>206</v>
      </c>
      <c r="G13" s="16"/>
      <c r="H13" s="18" t="str">
        <f t="shared" si="1"/>
        <v>✓</v>
      </c>
      <c r="I13" s="21">
        <v>2025.0</v>
      </c>
      <c r="J13" s="16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187</v>
      </c>
      <c r="D14" s="14" t="s">
        <v>207</v>
      </c>
      <c r="E14" s="14" t="s">
        <v>208</v>
      </c>
      <c r="F14" s="14" t="s">
        <v>209</v>
      </c>
      <c r="G14" s="16"/>
      <c r="H14" s="18" t="str">
        <f t="shared" si="1"/>
        <v>✓</v>
      </c>
      <c r="I14" s="21">
        <v>2025.0</v>
      </c>
      <c r="J14" s="16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</sheetData>
  <mergeCells count="4">
    <mergeCell ref="A1:K1"/>
    <mergeCell ref="A2:K2"/>
    <mergeCell ref="A3:K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6.63"/>
    <col customWidth="1" min="4" max="4" width="24.5"/>
    <col customWidth="1" min="5" max="5" width="21.63"/>
    <col customWidth="1" min="6" max="6" width="35.63"/>
    <col customWidth="1" min="8" max="8" width="6.25"/>
    <col customWidth="1" min="10" max="10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210</v>
      </c>
      <c r="D7" s="14" t="s">
        <v>211</v>
      </c>
      <c r="E7" s="14" t="s">
        <v>212</v>
      </c>
      <c r="F7" s="14" t="s">
        <v>210</v>
      </c>
      <c r="G7" s="16"/>
      <c r="H7" s="18" t="str">
        <f t="shared" ref="H7:H15" si="1">IF(I7&lt;&gt;"","✓","")</f>
        <v>✓</v>
      </c>
      <c r="I7" s="21">
        <v>2025.0</v>
      </c>
      <c r="J7" s="16"/>
      <c r="K7" s="2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210</v>
      </c>
      <c r="D8" s="14" t="s">
        <v>213</v>
      </c>
      <c r="E8" s="14" t="s">
        <v>214</v>
      </c>
      <c r="F8" s="14" t="s">
        <v>210</v>
      </c>
      <c r="G8" s="16"/>
      <c r="H8" s="18" t="str">
        <f t="shared" si="1"/>
        <v>✓</v>
      </c>
      <c r="I8" s="21">
        <v>2025.0</v>
      </c>
      <c r="J8" s="16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210</v>
      </c>
      <c r="D9" s="14" t="s">
        <v>215</v>
      </c>
      <c r="E9" s="14" t="s">
        <v>216</v>
      </c>
      <c r="F9" s="14" t="s">
        <v>210</v>
      </c>
      <c r="G9" s="16"/>
      <c r="H9" s="18" t="str">
        <f t="shared" si="1"/>
        <v>✓</v>
      </c>
      <c r="I9" s="21">
        <v>2025.0</v>
      </c>
      <c r="J9" s="16"/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210</v>
      </c>
      <c r="D10" s="14" t="s">
        <v>217</v>
      </c>
      <c r="E10" s="14" t="s">
        <v>218</v>
      </c>
      <c r="F10" s="14" t="s">
        <v>210</v>
      </c>
      <c r="G10" s="16"/>
      <c r="H10" s="18" t="str">
        <f t="shared" si="1"/>
        <v>✓</v>
      </c>
      <c r="I10" s="21">
        <v>2025.0</v>
      </c>
      <c r="J10" s="16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210</v>
      </c>
      <c r="D11" s="14" t="s">
        <v>219</v>
      </c>
      <c r="E11" s="14" t="s">
        <v>220</v>
      </c>
      <c r="F11" s="14" t="s">
        <v>221</v>
      </c>
      <c r="G11" s="16"/>
      <c r="H11" s="18" t="str">
        <f t="shared" si="1"/>
        <v>✓</v>
      </c>
      <c r="I11" s="21">
        <v>2025.0</v>
      </c>
      <c r="J11" s="16"/>
      <c r="K11" s="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210</v>
      </c>
      <c r="D12" s="14" t="s">
        <v>222</v>
      </c>
      <c r="E12" s="14" t="s">
        <v>223</v>
      </c>
      <c r="F12" s="14" t="s">
        <v>210</v>
      </c>
      <c r="G12" s="16"/>
      <c r="H12" s="18" t="str">
        <f t="shared" si="1"/>
        <v>✓</v>
      </c>
      <c r="I12" s="21">
        <v>2025.0</v>
      </c>
      <c r="J12" s="16"/>
      <c r="K12" s="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210</v>
      </c>
      <c r="D13" s="14" t="s">
        <v>224</v>
      </c>
      <c r="E13" s="14" t="s">
        <v>225</v>
      </c>
      <c r="F13" s="14" t="s">
        <v>221</v>
      </c>
      <c r="G13" s="16"/>
      <c r="H13" s="18" t="str">
        <f t="shared" si="1"/>
        <v>✓</v>
      </c>
      <c r="I13" s="21">
        <v>2025.0</v>
      </c>
      <c r="J13" s="16"/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210</v>
      </c>
      <c r="D14" s="14" t="s">
        <v>226</v>
      </c>
      <c r="E14" s="14" t="s">
        <v>227</v>
      </c>
      <c r="F14" s="14" t="s">
        <v>221</v>
      </c>
      <c r="G14" s="16"/>
      <c r="H14" s="18" t="str">
        <f t="shared" si="1"/>
        <v>✓</v>
      </c>
      <c r="I14" s="21">
        <v>2025.0</v>
      </c>
      <c r="J14" s="16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4" t="s">
        <v>14</v>
      </c>
      <c r="C15" s="14" t="s">
        <v>210</v>
      </c>
      <c r="D15" s="14" t="s">
        <v>228</v>
      </c>
      <c r="E15" s="14" t="s">
        <v>229</v>
      </c>
      <c r="F15" s="14" t="s">
        <v>210</v>
      </c>
      <c r="G15" s="16"/>
      <c r="H15" s="18" t="str">
        <f t="shared" si="1"/>
        <v>✓</v>
      </c>
      <c r="I15" s="21">
        <v>2025.0</v>
      </c>
      <c r="J15" s="16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</sheetData>
  <mergeCells count="4">
    <mergeCell ref="A1:K1"/>
    <mergeCell ref="A2:K2"/>
    <mergeCell ref="A3:K3"/>
    <mergeCell ref="H6:I6"/>
  </mergeCells>
  <drawing r:id="rId1"/>
</worksheet>
</file>