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RUN" sheetId="1" r:id="rId5"/>
    <sheet state="visible" name="BANGUN JAYO" sheetId="2" r:id="rId6"/>
    <sheet state="visible" name="BATU PENYABUNG" sheetId="3" r:id="rId7"/>
    <sheet state="visible" name="PULAU LINTANG" sheetId="4" r:id="rId8"/>
    <sheet state="visible" name="TELUK KECIMBUNG" sheetId="5" r:id="rId9"/>
  </sheets>
  <definedNames/>
  <calcPr/>
</workbook>
</file>

<file path=xl/sharedStrings.xml><?xml version="1.0" encoding="utf-8"?>
<sst xmlns="http://schemas.openxmlformats.org/spreadsheetml/2006/main" count="250" uniqueCount="108">
  <si>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</si>
  <si>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</si>
  <si>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</si>
  <si>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</si>
  <si>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</si>
  <si>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</si>
  <si>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</si>
  <si>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</si>
  <si>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</si>
  <si>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</si>
  <si>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</si>
  <si>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</si>
  <si>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</si>
  <si>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</si>
  <si>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VIII</t>
  </si>
  <si>
    <t>BATU PENYABUNG</t>
  </si>
  <si>
    <t>ADE IRMA SURYANI</t>
  </si>
  <si>
    <t>PULAU LINTANG</t>
  </si>
  <si>
    <t>1503086712890005</t>
  </si>
  <si>
    <t>RT. 004</t>
  </si>
  <si>
    <t>ABU BAKAR</t>
  </si>
  <si>
    <t>1503081109740001</t>
  </si>
  <si>
    <t>PENARUN</t>
  </si>
  <si>
    <t>AZAHARI</t>
  </si>
  <si>
    <t>1503082006850001</t>
  </si>
  <si>
    <t>DUSUN III</t>
  </si>
  <si>
    <t>BANGUN JAYO</t>
  </si>
  <si>
    <t>NURI YANTO</t>
  </si>
  <si>
    <t>1503080501830002</t>
  </si>
  <si>
    <t>RT 001</t>
  </si>
  <si>
    <t>BADRUL HUSNI</t>
  </si>
  <si>
    <t>ANDINI SAPUTRA</t>
  </si>
  <si>
    <t>1503082503870002</t>
  </si>
  <si>
    <t>1503072405970001</t>
  </si>
  <si>
    <t>DUSUN IV</t>
  </si>
  <si>
    <t>RT. 005</t>
  </si>
  <si>
    <t>RAPIKA DURI</t>
  </si>
  <si>
    <t>1503084910010002</t>
  </si>
  <si>
    <t>ETI USBAINI</t>
  </si>
  <si>
    <t>ASMARITA</t>
  </si>
  <si>
    <t>1503086809850001</t>
  </si>
  <si>
    <t>1503084502010002</t>
  </si>
  <si>
    <t>RT. 001</t>
  </si>
  <si>
    <t>SITI RUPEA</t>
  </si>
  <si>
    <t>1611044708580003</t>
  </si>
  <si>
    <t>KHAIRIL ANWAR</t>
  </si>
  <si>
    <t>HIDAYAT</t>
  </si>
  <si>
    <t>1503083012960002</t>
  </si>
  <si>
    <t>1503082610880001</t>
  </si>
  <si>
    <t>RT. 003</t>
  </si>
  <si>
    <t>M.AFQON</t>
  </si>
  <si>
    <t>1503082508020003</t>
  </si>
  <si>
    <t>HODIRIN</t>
  </si>
  <si>
    <t>1503022704930002</t>
  </si>
  <si>
    <t>DUSUN II</t>
  </si>
  <si>
    <t>ROSIDA</t>
  </si>
  <si>
    <t>1503085305670001</t>
  </si>
  <si>
    <t>RT 005</t>
  </si>
  <si>
    <t>NURBAYA</t>
  </si>
  <si>
    <t>1503084610980002</t>
  </si>
  <si>
    <t>RT. 008</t>
  </si>
  <si>
    <t>JAMAINAH</t>
  </si>
  <si>
    <t>1503085709900001</t>
  </si>
  <si>
    <t>PATMAWATI</t>
  </si>
  <si>
    <t>1503084705780001</t>
  </si>
  <si>
    <t>RT. 006</t>
  </si>
  <si>
    <t>JARMANI</t>
  </si>
  <si>
    <t>1503085007860001</t>
  </si>
  <si>
    <t>KUSWANDI</t>
  </si>
  <si>
    <t>1503080409770002</t>
  </si>
  <si>
    <t>LUDIN</t>
  </si>
  <si>
    <t>1503080507590001</t>
  </si>
  <si>
    <t>DUSUN I</t>
  </si>
  <si>
    <t>M. AYUB</t>
  </si>
  <si>
    <t>1503080807910002</t>
  </si>
  <si>
    <t>MANAH</t>
  </si>
  <si>
    <t>1503084511510003</t>
  </si>
  <si>
    <t>MUHAMMAD LISAH</t>
  </si>
  <si>
    <t>1503081305730001</t>
  </si>
  <si>
    <t>NITA</t>
  </si>
  <si>
    <t>1503084603030003</t>
  </si>
  <si>
    <t>ROI MARTIN</t>
  </si>
  <si>
    <t>1503081208920005</t>
  </si>
  <si>
    <t>ROSMANIDAR</t>
  </si>
  <si>
    <t>1503084610570001</t>
  </si>
  <si>
    <t>SAPRIL</t>
  </si>
  <si>
    <t>1503080705850002</t>
  </si>
  <si>
    <t>WIRNA WATI</t>
  </si>
  <si>
    <t>1503024307890001</t>
  </si>
  <si>
    <t>TELUK KECIMBUNG</t>
  </si>
  <si>
    <t>DAHLAN</t>
  </si>
  <si>
    <t>1503080809740001</t>
  </si>
  <si>
    <t>RT 003. RW 002</t>
  </si>
  <si>
    <t>HERMAMSYAH</t>
  </si>
  <si>
    <t>1502061711870001</t>
  </si>
  <si>
    <t>RT. 002 RW. 001</t>
  </si>
  <si>
    <t>IRPAN</t>
  </si>
  <si>
    <t>1503080107990016</t>
  </si>
  <si>
    <t>RT. 002</t>
  </si>
  <si>
    <t>MARYADI</t>
  </si>
  <si>
    <t>1503080107930009</t>
  </si>
  <si>
    <t>SETU</t>
  </si>
  <si>
    <t>1503080903750001</t>
  </si>
  <si>
    <t>SITI AISAH</t>
  </si>
  <si>
    <t>1503085709780001</t>
  </si>
  <si>
    <t>TAMRIN</t>
  </si>
  <si>
    <t>1503081403790004</t>
  </si>
  <si>
    <t>RT. 007 RW. 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</si>
</sst>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2.5"/>
    <col customWidth="1" min="4" max="4" width="22.75"/>
    <col customWidth="1" min="5" max="5" width="22.38"/>
    <col customWidth="1" min="6" max="6" width="20.5"/>
    <col customWidth="1" min="8" max="8" width="5.13"/>
    <col customWidth="1" min="9" max="9" width="10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4" t="s">
        <v>14</v>
      </c>
      <c r="C7" s="14" t="s">
        <v>22</v>
      </c>
      <c r="D7" s="14" t="s">
        <v>23</v>
      </c>
      <c r="E7" s="14" t="s">
        <v>24</v>
      </c>
      <c r="F7" s="14" t="s">
        <v>25</v>
      </c>
      <c r="G7" s="14">
        <v>2026.0</v>
      </c>
      <c r="H7" s="15" t="str">
        <f t="shared" ref="H7:H23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4" t="s">
        <v>14</v>
      </c>
      <c r="C8" s="14" t="s">
        <v>22</v>
      </c>
      <c r="D8" s="14" t="s">
        <v>30</v>
      </c>
      <c r="E8" s="14" t="s">
        <v>32</v>
      </c>
      <c r="F8" s="14" t="s">
        <v>34</v>
      </c>
      <c r="G8" s="14">
        <v>2026.0</v>
      </c>
      <c r="H8" s="15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4" t="s">
        <v>14</v>
      </c>
      <c r="C9" s="14" t="s">
        <v>22</v>
      </c>
      <c r="D9" s="14" t="s">
        <v>38</v>
      </c>
      <c r="E9" s="14" t="s">
        <v>40</v>
      </c>
      <c r="F9" s="14" t="s">
        <v>25</v>
      </c>
      <c r="G9" s="14">
        <v>2026.0</v>
      </c>
      <c r="H9" s="15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4" t="s">
        <v>14</v>
      </c>
      <c r="C10" s="14" t="s">
        <v>22</v>
      </c>
      <c r="D10" s="14" t="s">
        <v>46</v>
      </c>
      <c r="E10" s="14" t="s">
        <v>48</v>
      </c>
      <c r="F10" s="14" t="s">
        <v>25</v>
      </c>
      <c r="G10" s="14">
        <v>2026.0</v>
      </c>
      <c r="H10" s="15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4" t="s">
        <v>14</v>
      </c>
      <c r="C11" s="14" t="s">
        <v>22</v>
      </c>
      <c r="D11" s="14" t="s">
        <v>52</v>
      </c>
      <c r="E11" s="14" t="s">
        <v>53</v>
      </c>
      <c r="F11" s="14" t="s">
        <v>54</v>
      </c>
      <c r="G11" s="14">
        <v>2026.0</v>
      </c>
      <c r="H11" s="15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4" t="s">
        <v>14</v>
      </c>
      <c r="C12" s="14" t="s">
        <v>22</v>
      </c>
      <c r="D12" s="14" t="s">
        <v>61</v>
      </c>
      <c r="E12" s="14" t="s">
        <v>62</v>
      </c>
      <c r="F12" s="14" t="s">
        <v>34</v>
      </c>
      <c r="G12" s="14">
        <v>2026.0</v>
      </c>
      <c r="H12" s="15" t="str">
        <f t="shared" si="1"/>
        <v/>
      </c>
      <c r="I12" s="17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4" t="s">
        <v>14</v>
      </c>
      <c r="C13" s="14" t="s">
        <v>22</v>
      </c>
      <c r="D13" s="14" t="s">
        <v>66</v>
      </c>
      <c r="E13" s="14" t="s">
        <v>67</v>
      </c>
      <c r="F13" s="14" t="s">
        <v>34</v>
      </c>
      <c r="G13" s="14">
        <v>2026.0</v>
      </c>
      <c r="H13" s="15" t="str">
        <f t="shared" si="1"/>
        <v/>
      </c>
      <c r="I13" s="17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4" t="s">
        <v>14</v>
      </c>
      <c r="C14" s="14" t="s">
        <v>22</v>
      </c>
      <c r="D14" s="14" t="s">
        <v>68</v>
      </c>
      <c r="E14" s="14" t="s">
        <v>69</v>
      </c>
      <c r="F14" s="14" t="s">
        <v>25</v>
      </c>
      <c r="G14" s="14">
        <v>2026.0</v>
      </c>
      <c r="H14" s="15" t="str">
        <f t="shared" si="1"/>
        <v/>
      </c>
      <c r="I14" s="17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4" t="s">
        <v>14</v>
      </c>
      <c r="C15" s="14" t="s">
        <v>22</v>
      </c>
      <c r="D15" s="14" t="s">
        <v>70</v>
      </c>
      <c r="E15" s="14" t="s">
        <v>71</v>
      </c>
      <c r="F15" s="14" t="s">
        <v>72</v>
      </c>
      <c r="G15" s="14">
        <v>2026.0</v>
      </c>
      <c r="H15" s="15" t="str">
        <f t="shared" si="1"/>
        <v/>
      </c>
      <c r="I15" s="17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4" t="s">
        <v>14</v>
      </c>
      <c r="C16" s="14" t="s">
        <v>22</v>
      </c>
      <c r="D16" s="14" t="s">
        <v>73</v>
      </c>
      <c r="E16" s="14" t="s">
        <v>74</v>
      </c>
      <c r="F16" s="14" t="s">
        <v>54</v>
      </c>
      <c r="G16" s="14">
        <v>2026.0</v>
      </c>
      <c r="H16" s="15" t="str">
        <f t="shared" si="1"/>
        <v/>
      </c>
      <c r="I16" s="17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4" t="s">
        <v>14</v>
      </c>
      <c r="C17" s="14" t="s">
        <v>22</v>
      </c>
      <c r="D17" s="14" t="s">
        <v>75</v>
      </c>
      <c r="E17" s="14" t="s">
        <v>76</v>
      </c>
      <c r="F17" s="14" t="s">
        <v>54</v>
      </c>
      <c r="G17" s="14">
        <v>2026.0</v>
      </c>
      <c r="H17" s="15" t="str">
        <f t="shared" si="1"/>
        <v/>
      </c>
      <c r="I17" s="17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4" t="s">
        <v>14</v>
      </c>
      <c r="C18" s="14" t="s">
        <v>22</v>
      </c>
      <c r="D18" s="14" t="s">
        <v>77</v>
      </c>
      <c r="E18" s="14" t="s">
        <v>78</v>
      </c>
      <c r="F18" s="14" t="s">
        <v>34</v>
      </c>
      <c r="G18" s="14">
        <v>2026.0</v>
      </c>
      <c r="H18" s="15" t="str">
        <f t="shared" si="1"/>
        <v/>
      </c>
      <c r="I18" s="17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4" t="s">
        <v>14</v>
      </c>
      <c r="C19" s="14" t="s">
        <v>22</v>
      </c>
      <c r="D19" s="14" t="s">
        <v>79</v>
      </c>
      <c r="E19" s="14" t="s">
        <v>80</v>
      </c>
      <c r="F19" s="14" t="s">
        <v>54</v>
      </c>
      <c r="G19" s="14">
        <v>2026.0</v>
      </c>
      <c r="H19" s="15" t="str">
        <f t="shared" si="1"/>
        <v/>
      </c>
      <c r="I19" s="17"/>
      <c r="J19" s="18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4" t="s">
        <v>14</v>
      </c>
      <c r="C20" s="14" t="s">
        <v>22</v>
      </c>
      <c r="D20" s="14" t="s">
        <v>81</v>
      </c>
      <c r="E20" s="14" t="s">
        <v>82</v>
      </c>
      <c r="F20" s="14" t="s">
        <v>25</v>
      </c>
      <c r="G20" s="14">
        <v>2026.0</v>
      </c>
      <c r="H20" s="15" t="str">
        <f t="shared" si="1"/>
        <v/>
      </c>
      <c r="I20" s="17"/>
      <c r="J20" s="18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4" t="s">
        <v>14</v>
      </c>
      <c r="C21" s="14" t="s">
        <v>22</v>
      </c>
      <c r="D21" s="14" t="s">
        <v>83</v>
      </c>
      <c r="E21" s="14" t="s">
        <v>84</v>
      </c>
      <c r="F21" s="14" t="s">
        <v>54</v>
      </c>
      <c r="G21" s="14">
        <v>2026.0</v>
      </c>
      <c r="H21" s="15" t="str">
        <f t="shared" si="1"/>
        <v/>
      </c>
      <c r="I21" s="17"/>
      <c r="J21" s="18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16.0</v>
      </c>
      <c r="B22" s="14" t="s">
        <v>14</v>
      </c>
      <c r="C22" s="14" t="s">
        <v>22</v>
      </c>
      <c r="D22" s="14" t="s">
        <v>85</v>
      </c>
      <c r="E22" s="14" t="s">
        <v>86</v>
      </c>
      <c r="F22" s="14" t="s">
        <v>54</v>
      </c>
      <c r="G22" s="14">
        <v>2026.0</v>
      </c>
      <c r="H22" s="15" t="str">
        <f t="shared" si="1"/>
        <v/>
      </c>
      <c r="I22" s="17"/>
      <c r="J22" s="18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17.0</v>
      </c>
      <c r="B23" s="14" t="s">
        <v>14</v>
      </c>
      <c r="C23" s="14" t="s">
        <v>22</v>
      </c>
      <c r="D23" s="14" t="s">
        <v>87</v>
      </c>
      <c r="E23" s="14" t="s">
        <v>88</v>
      </c>
      <c r="F23" s="14" t="s">
        <v>25</v>
      </c>
      <c r="G23" s="14">
        <v>2026.0</v>
      </c>
      <c r="H23" s="15" t="str">
        <f t="shared" si="1"/>
        <v/>
      </c>
      <c r="I23" s="17"/>
      <c r="J23" s="18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2.5"/>
    <col customWidth="1" min="4" max="4" width="22.75"/>
    <col customWidth="1" min="5" max="5" width="22.38"/>
    <col customWidth="1" min="6" max="6" width="20.5"/>
    <col customWidth="1" min="8" max="8" width="5.13"/>
    <col customWidth="1" min="9" max="9" width="10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26</v>
      </c>
      <c r="D7" s="11" t="s">
        <v>27</v>
      </c>
      <c r="E7" s="11" t="s">
        <v>28</v>
      </c>
      <c r="F7" s="11" t="s">
        <v>29</v>
      </c>
      <c r="G7" s="13"/>
      <c r="H7" s="15" t="str">
        <f t="shared" ref="H7:H8" si="1">IF(I7&lt;&gt;"","✓","")</f>
        <v>✓</v>
      </c>
      <c r="I7" s="16">
        <v>2025.0</v>
      </c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26</v>
      </c>
      <c r="D8" s="11" t="s">
        <v>55</v>
      </c>
      <c r="E8" s="11" t="s">
        <v>56</v>
      </c>
      <c r="F8" s="11" t="s">
        <v>57</v>
      </c>
      <c r="G8" s="13"/>
      <c r="H8" s="15" t="str">
        <f t="shared" si="1"/>
        <v>✓</v>
      </c>
      <c r="I8" s="16">
        <v>2025.0</v>
      </c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2.5"/>
    <col customWidth="1" min="4" max="4" width="22.75"/>
    <col customWidth="1" min="5" max="5" width="22.38"/>
    <col customWidth="1" min="6" max="6" width="20.5"/>
    <col customWidth="1" min="8" max="8" width="5.13"/>
    <col customWidth="1" min="9" max="9" width="10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18</v>
      </c>
      <c r="F7" s="11" t="s">
        <v>19</v>
      </c>
      <c r="G7" s="13"/>
      <c r="H7" s="15" t="str">
        <f t="shared" ref="H7:H13" si="1">IF(I7&lt;&gt;"","✓","")</f>
        <v>✓</v>
      </c>
      <c r="I7" s="16">
        <v>2025.0</v>
      </c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31</v>
      </c>
      <c r="E8" s="11" t="s">
        <v>33</v>
      </c>
      <c r="F8" s="11" t="s">
        <v>35</v>
      </c>
      <c r="G8" s="13"/>
      <c r="H8" s="15" t="str">
        <f t="shared" si="1"/>
        <v>✓</v>
      </c>
      <c r="I8" s="16">
        <v>2025.0</v>
      </c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39</v>
      </c>
      <c r="E9" s="11" t="s">
        <v>41</v>
      </c>
      <c r="F9" s="11" t="s">
        <v>42</v>
      </c>
      <c r="G9" s="13"/>
      <c r="H9" s="15" t="str">
        <f t="shared" si="1"/>
        <v>✓</v>
      </c>
      <c r="I9" s="16">
        <v>2025.0</v>
      </c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45</v>
      </c>
      <c r="E10" s="11" t="s">
        <v>47</v>
      </c>
      <c r="F10" s="11" t="s">
        <v>49</v>
      </c>
      <c r="G10" s="13"/>
      <c r="H10" s="15" t="str">
        <f t="shared" si="1"/>
        <v>✓</v>
      </c>
      <c r="I10" s="16">
        <v>2025.0</v>
      </c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50</v>
      </c>
      <c r="E11" s="11" t="s">
        <v>51</v>
      </c>
      <c r="F11" s="11" t="s">
        <v>49</v>
      </c>
      <c r="G11" s="13"/>
      <c r="H11" s="15" t="str">
        <f t="shared" si="1"/>
        <v>✓</v>
      </c>
      <c r="I11" s="16">
        <v>2025.0</v>
      </c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58</v>
      </c>
      <c r="E12" s="11" t="s">
        <v>59</v>
      </c>
      <c r="F12" s="11" t="s">
        <v>60</v>
      </c>
      <c r="G12" s="13"/>
      <c r="H12" s="15" t="str">
        <f t="shared" si="1"/>
        <v>✓</v>
      </c>
      <c r="I12" s="16">
        <v>2025.0</v>
      </c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63</v>
      </c>
      <c r="E13" s="11" t="s">
        <v>64</v>
      </c>
      <c r="F13" s="11" t="s">
        <v>65</v>
      </c>
      <c r="G13" s="13"/>
      <c r="H13" s="15" t="str">
        <f t="shared" si="1"/>
        <v>✓</v>
      </c>
      <c r="I13" s="16">
        <v>2025.0</v>
      </c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2.5"/>
    <col customWidth="1" min="4" max="4" width="22.75"/>
    <col customWidth="1" min="5" max="5" width="22.38"/>
    <col customWidth="1" min="6" max="6" width="20.5"/>
    <col customWidth="1" min="8" max="8" width="5.13"/>
    <col customWidth="1" min="9" max="9" width="10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17</v>
      </c>
      <c r="D7" s="11" t="s">
        <v>20</v>
      </c>
      <c r="E7" s="11" t="s">
        <v>21</v>
      </c>
      <c r="F7" s="11" t="s">
        <v>17</v>
      </c>
      <c r="G7" s="13"/>
      <c r="H7" s="15" t="str">
        <f t="shared" ref="H7:H9" si="1">IF(I7&lt;&gt;"","✓","")</f>
        <v>✓</v>
      </c>
      <c r="I7" s="16">
        <v>2025.0</v>
      </c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17</v>
      </c>
      <c r="D8" s="11" t="s">
        <v>36</v>
      </c>
      <c r="E8" s="11" t="s">
        <v>37</v>
      </c>
      <c r="F8" s="11" t="s">
        <v>17</v>
      </c>
      <c r="G8" s="13"/>
      <c r="H8" s="15" t="str">
        <f t="shared" si="1"/>
        <v>✓</v>
      </c>
      <c r="I8" s="16">
        <v>2025.0</v>
      </c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17</v>
      </c>
      <c r="D9" s="11" t="s">
        <v>43</v>
      </c>
      <c r="E9" s="11" t="s">
        <v>44</v>
      </c>
      <c r="F9" s="11" t="s">
        <v>17</v>
      </c>
      <c r="G9" s="13"/>
      <c r="H9" s="15" t="str">
        <f t="shared" si="1"/>
        <v>✓</v>
      </c>
      <c r="I9" s="16">
        <v>2025.0</v>
      </c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2.5"/>
    <col customWidth="1" min="4" max="4" width="22.75"/>
    <col customWidth="1" min="5" max="5" width="22.38"/>
    <col customWidth="1" min="6" max="6" width="20.5"/>
    <col customWidth="1" min="8" max="8" width="5.13"/>
    <col customWidth="1" min="9" max="9" width="10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89</v>
      </c>
      <c r="D7" s="11" t="s">
        <v>90</v>
      </c>
      <c r="E7" s="11" t="s">
        <v>91</v>
      </c>
      <c r="F7" s="11" t="s">
        <v>92</v>
      </c>
      <c r="G7" s="13"/>
      <c r="H7" s="15" t="str">
        <f t="shared" ref="H7:H13" si="1">IF(I7&lt;&gt;"","✓","")</f>
        <v>✓</v>
      </c>
      <c r="I7" s="16">
        <v>2025.0</v>
      </c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89</v>
      </c>
      <c r="D8" s="11" t="s">
        <v>93</v>
      </c>
      <c r="E8" s="11" t="s">
        <v>94</v>
      </c>
      <c r="F8" s="11" t="s">
        <v>95</v>
      </c>
      <c r="G8" s="13"/>
      <c r="H8" s="15" t="str">
        <f t="shared" si="1"/>
        <v>✓</v>
      </c>
      <c r="I8" s="16">
        <v>2025.0</v>
      </c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89</v>
      </c>
      <c r="D9" s="11" t="s">
        <v>96</v>
      </c>
      <c r="E9" s="11" t="s">
        <v>97</v>
      </c>
      <c r="F9" s="11" t="s">
        <v>98</v>
      </c>
      <c r="G9" s="13"/>
      <c r="H9" s="15" t="str">
        <f t="shared" si="1"/>
        <v>✓</v>
      </c>
      <c r="I9" s="16">
        <v>2025.0</v>
      </c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89</v>
      </c>
      <c r="D10" s="11" t="s">
        <v>99</v>
      </c>
      <c r="E10" s="11" t="s">
        <v>100</v>
      </c>
      <c r="F10" s="11" t="s">
        <v>95</v>
      </c>
      <c r="G10" s="13"/>
      <c r="H10" s="15" t="str">
        <f t="shared" si="1"/>
        <v>✓</v>
      </c>
      <c r="I10" s="16">
        <v>2025.0</v>
      </c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89</v>
      </c>
      <c r="D11" s="11" t="s">
        <v>101</v>
      </c>
      <c r="E11" s="11" t="s">
        <v>102</v>
      </c>
      <c r="F11" s="11" t="s">
        <v>95</v>
      </c>
      <c r="G11" s="13"/>
      <c r="H11" s="15" t="str">
        <f t="shared" si="1"/>
        <v>✓</v>
      </c>
      <c r="I11" s="16">
        <v>2025.0</v>
      </c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89</v>
      </c>
      <c r="D12" s="11" t="s">
        <v>103</v>
      </c>
      <c r="E12" s="11" t="s">
        <v>104</v>
      </c>
      <c r="F12" s="11" t="s">
        <v>19</v>
      </c>
      <c r="G12" s="13"/>
      <c r="H12" s="15" t="str">
        <f t="shared" si="1"/>
        <v>✓</v>
      </c>
      <c r="I12" s="16">
        <v>2025.0</v>
      </c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89</v>
      </c>
      <c r="D13" s="11" t="s">
        <v>105</v>
      </c>
      <c r="E13" s="11" t="s">
        <v>106</v>
      </c>
      <c r="F13" s="11" t="s">
        <v>107</v>
      </c>
      <c r="G13" s="13"/>
      <c r="H13" s="15" t="str">
        <f t="shared" si="1"/>
        <v>✓</v>
      </c>
      <c r="I13" s="16">
        <v>2025.0</v>
      </c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</sheetData>
  <mergeCells count="4">
    <mergeCell ref="A1:K1"/>
    <mergeCell ref="A2:K2"/>
    <mergeCell ref="A3:K3"/>
    <mergeCell ref="H6:I6"/>
  </mergeCells>
  <drawing r:id="rId1"/>
</worksheet>
</file>