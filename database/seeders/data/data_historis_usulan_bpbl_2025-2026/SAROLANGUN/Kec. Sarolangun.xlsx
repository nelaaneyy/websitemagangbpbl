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DUNG" sheetId="1" r:id="rId5"/>
    <sheet state="visible" name="PANTI" sheetId="2" r:id="rId6"/>
    <sheet state="visible" name="AUR" sheetId="3" r:id="rId7"/>
    <sheet state="visible" name="BERNAI" sheetId="4" r:id="rId8"/>
    <sheet state="visible" name="BERNAI DALAM" sheetId="5" r:id="rId9"/>
    <sheet state="visible" name="GUNUNGKEMBANG" sheetId="6" r:id="rId10"/>
    <sheet state="visible" name="LADANG PANJANG" sheetId="7" r:id="rId11"/>
    <sheet state="visible" name="SAROLANGUNU KEMBANG" sheetId="8" r:id="rId12"/>
    <sheet state="visible" name="SUNGAI ABANG" sheetId="9" r:id="rId13"/>
  </sheets>
  <definedNames/>
  <calcPr/>
</workbook>
</file>

<file path=xl/sharedStrings.xml><?xml version="1.0" encoding="utf-8"?>
<sst xmlns="http://schemas.openxmlformats.org/spreadsheetml/2006/main" count="723" uniqueCount="304">
  <si>
    <t>REKAPITULASI USULAN DAN REALISASI PENERIMA BPBL PROVINSI JAMBI</t>
  </si>
  <si>
    <t>MELALUI KEGIATAN PLN (Sumber Dana APBN)</t>
  </si>
  <si>
    <t>TAHUN 2025-2026</t>
  </si>
  <si>
    <t>Kab/Kota</t>
  </si>
  <si>
    <t>: Kabupaten Sarolangun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</si>
  <si>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</si>
  <si>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</si>
  <si>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</si>
  <si>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</si>
  <si>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</si>
  <si>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</si>
  <si>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</si>
  <si>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</si>
  <si>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</si>
  <si>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SAROLANGUN</t>
  </si>
  <si>
    <t>AUR</t>
  </si>
  <si>
    <t>BERNAI</t>
  </si>
  <si>
    <t>ADNI.S</t>
  </si>
  <si>
    <t>1503031606870003</t>
  </si>
  <si>
    <t>A. YANI</t>
  </si>
  <si>
    <t>AUR GADING RT 5</t>
  </si>
  <si>
    <t>1503033009650003</t>
  </si>
  <si>
    <t>RT 13</t>
  </si>
  <si>
    <t>PANTI</t>
  </si>
  <si>
    <t>LIDUNG</t>
  </si>
  <si>
    <t>ALBDARI</t>
  </si>
  <si>
    <t>A. RAHMAN</t>
  </si>
  <si>
    <t>1503032707930002</t>
  </si>
  <si>
    <t>1503030809960002</t>
  </si>
  <si>
    <t>RT. 06</t>
  </si>
  <si>
    <t>RT. 12 DESA LIDUNG</t>
  </si>
  <si>
    <t>ALI SUFI</t>
  </si>
  <si>
    <t>1503032912700006</t>
  </si>
  <si>
    <t>RT 15</t>
  </si>
  <si>
    <t>AMIN</t>
  </si>
  <si>
    <t>1503030105000005</t>
  </si>
  <si>
    <t>RT 08</t>
  </si>
  <si>
    <t>HAMBALI</t>
  </si>
  <si>
    <t>1503032003810001</t>
  </si>
  <si>
    <t>AS'AD</t>
  </si>
  <si>
    <t>1503030712690001</t>
  </si>
  <si>
    <t>RT 20</t>
  </si>
  <si>
    <t>ASHARI</t>
  </si>
  <si>
    <t>1503031712870001</t>
  </si>
  <si>
    <t>RT 06</t>
  </si>
  <si>
    <t>KHOIRUL AMRI</t>
  </si>
  <si>
    <t>1503030107760225</t>
  </si>
  <si>
    <t>RT. 05</t>
  </si>
  <si>
    <t>A. RONI</t>
  </si>
  <si>
    <t>1503031502740004</t>
  </si>
  <si>
    <t>EFRIYANTO</t>
  </si>
  <si>
    <t>RT. 14 DESA LIDUNG</t>
  </si>
  <si>
    <t>1503030101830004</t>
  </si>
  <si>
    <t>MAHMUDIN</t>
  </si>
  <si>
    <t>1503032110890008</t>
  </si>
  <si>
    <t>ALEX</t>
  </si>
  <si>
    <t>1310031507820003</t>
  </si>
  <si>
    <t>RT. 11 DESA LIDUNG</t>
  </si>
  <si>
    <t>HARIYANTO</t>
  </si>
  <si>
    <t>1503030311000004</t>
  </si>
  <si>
    <t>RT 05</t>
  </si>
  <si>
    <t>ALHADI</t>
  </si>
  <si>
    <t>ROZI FIRDAUS</t>
  </si>
  <si>
    <t>1503030101800007</t>
  </si>
  <si>
    <t>RT. 04 DESA LIDUNG</t>
  </si>
  <si>
    <t>1503031605930005</t>
  </si>
  <si>
    <t>RT. 07</t>
  </si>
  <si>
    <t>HERIYANTO</t>
  </si>
  <si>
    <t>1509031012890001</t>
  </si>
  <si>
    <t>ARI YANTO</t>
  </si>
  <si>
    <t>1503041107930003</t>
  </si>
  <si>
    <t>ASHA BULKAHFI</t>
  </si>
  <si>
    <t>SILVIA ROSDIA</t>
  </si>
  <si>
    <t>1503031507880004</t>
  </si>
  <si>
    <t>ICA SURYANTI</t>
  </si>
  <si>
    <t>1503036506960005</t>
  </si>
  <si>
    <t>1601144501000009</t>
  </si>
  <si>
    <t>ASKAHONI</t>
  </si>
  <si>
    <t>1503030902850001</t>
  </si>
  <si>
    <t>ZAIRROZI</t>
  </si>
  <si>
    <t>IIS ARIYANTO</t>
  </si>
  <si>
    <t>1503030201860007</t>
  </si>
  <si>
    <t>1503031905930001</t>
  </si>
  <si>
    <t>RT. 04</t>
  </si>
  <si>
    <t>RT 07</t>
  </si>
  <si>
    <t>BAHREN</t>
  </si>
  <si>
    <t>1503031124000002</t>
  </si>
  <si>
    <t>RT. 06 DESA LIDUNG</t>
  </si>
  <si>
    <t>IZHAR IBRAHIM</t>
  </si>
  <si>
    <t>1503030803650004</t>
  </si>
  <si>
    <t>DESMA YANI</t>
  </si>
  <si>
    <t>1503036402970004</t>
  </si>
  <si>
    <t>RT. 07 DESA LIDUNG</t>
  </si>
  <si>
    <t>M HERPANDI</t>
  </si>
  <si>
    <t>1503030710890001</t>
  </si>
  <si>
    <t>RT 14</t>
  </si>
  <si>
    <t>GUNTUR</t>
  </si>
  <si>
    <t>1503033101780002</t>
  </si>
  <si>
    <t>MARYANI ASTRY</t>
  </si>
  <si>
    <t>1503036905890004</t>
  </si>
  <si>
    <t>HIDAYAT</t>
  </si>
  <si>
    <t>1503030902880001</t>
  </si>
  <si>
    <t>RT. 03 DESA LIDUNG</t>
  </si>
  <si>
    <t>IHWANDI</t>
  </si>
  <si>
    <t>MUHAMMAD UMAR</t>
  </si>
  <si>
    <t>1503032108970001</t>
  </si>
  <si>
    <t>1503032712960001</t>
  </si>
  <si>
    <t>RT. 16 DESA LIDUNG</t>
  </si>
  <si>
    <t>JONI</t>
  </si>
  <si>
    <t>PURNAMA SARI</t>
  </si>
  <si>
    <t>1503030204750004</t>
  </si>
  <si>
    <t>1503035405930005</t>
  </si>
  <si>
    <t>RANI</t>
  </si>
  <si>
    <t>1503035002840006</t>
  </si>
  <si>
    <t>MUSLIMIN</t>
  </si>
  <si>
    <t>1503031305920002</t>
  </si>
  <si>
    <t>RT. 15 DESA LIDUNG</t>
  </si>
  <si>
    <t>SILVIA NOVA</t>
  </si>
  <si>
    <t>1508084810890001</t>
  </si>
  <si>
    <t>NUR KHALIS</t>
  </si>
  <si>
    <t>1503030511890007</t>
  </si>
  <si>
    <t>SYAHWANDI</t>
  </si>
  <si>
    <t>1503033012740006</t>
  </si>
  <si>
    <t>NURDIN</t>
  </si>
  <si>
    <t>1503032208400001</t>
  </si>
  <si>
    <t>WARKIM</t>
  </si>
  <si>
    <t>1503030404750001</t>
  </si>
  <si>
    <t>RT 02</t>
  </si>
  <si>
    <t>RAIHANA</t>
  </si>
  <si>
    <t>1571015810880021</t>
  </si>
  <si>
    <t>ZAMZAMI</t>
  </si>
  <si>
    <t>1503030203930003</t>
  </si>
  <si>
    <t>RIKI AGUSTIN</t>
  </si>
  <si>
    <t>1509011908000002</t>
  </si>
  <si>
    <t>SAIHUL ABID</t>
  </si>
  <si>
    <t>1503030810780001</t>
  </si>
  <si>
    <t>SARI AYU</t>
  </si>
  <si>
    <t>1503034212860008</t>
  </si>
  <si>
    <t>SARTIMAN</t>
  </si>
  <si>
    <t>1223052102680002</t>
  </si>
  <si>
    <t>SAURI</t>
  </si>
  <si>
    <t>1503030607870004</t>
  </si>
  <si>
    <t>SITIN FATIMAH</t>
  </si>
  <si>
    <t>1503034502630003</t>
  </si>
  <si>
    <t>RT. 05 DESA LIDUNG</t>
  </si>
  <si>
    <t>TABRANI</t>
  </si>
  <si>
    <t>1503042109700002</t>
  </si>
  <si>
    <t>RT. 09 DESA LIDUNG</t>
  </si>
  <si>
    <t>TOHA JAIDI</t>
  </si>
  <si>
    <t>1503031506760008</t>
  </si>
  <si>
    <t>YUZIRI</t>
  </si>
  <si>
    <t>1503030105870007</t>
  </si>
  <si>
    <t>ZUKRI.R</t>
  </si>
  <si>
    <t>1503030302820008</t>
  </si>
  <si>
    <t>A RONI</t>
  </si>
  <si>
    <t>HIDAYAH</t>
  </si>
  <si>
    <t>RT. 03</t>
  </si>
  <si>
    <t>ROSITA</t>
  </si>
  <si>
    <t>RT 09</t>
  </si>
  <si>
    <t>RT. 15</t>
  </si>
  <si>
    <t>BERNAI DALAM</t>
  </si>
  <si>
    <t>ASMARA</t>
  </si>
  <si>
    <t>1503036005680002</t>
  </si>
  <si>
    <t>RT 08 DESA BERNAI DALAM</t>
  </si>
  <si>
    <t>EDI CANDRA</t>
  </si>
  <si>
    <t>1503032611930001</t>
  </si>
  <si>
    <t>MARYANA</t>
  </si>
  <si>
    <t>1503094102910002</t>
  </si>
  <si>
    <t>RT. 06 DESA BERNAI DALAM</t>
  </si>
  <si>
    <t>NORA NOPIANTY</t>
  </si>
  <si>
    <t>1503037011890003</t>
  </si>
  <si>
    <t>RT. 08 DESA BERNAI DALAM</t>
  </si>
  <si>
    <t>RAHMAT HIDAYAT</t>
  </si>
  <si>
    <t>1503052001010003</t>
  </si>
  <si>
    <t>RT.07 DESA BERNAI DALAM</t>
  </si>
  <si>
    <t>RUMISIH</t>
  </si>
  <si>
    <t>1503034107600124</t>
  </si>
  <si>
    <t>SARAH</t>
  </si>
  <si>
    <t>1708014107600002</t>
  </si>
  <si>
    <t>ZUHDI</t>
  </si>
  <si>
    <t>1503031407870005</t>
  </si>
  <si>
    <t>GUNUNGKEMBANG</t>
  </si>
  <si>
    <t>BADRU</t>
  </si>
  <si>
    <t>1503032704800005</t>
  </si>
  <si>
    <t>RT 04</t>
  </si>
  <si>
    <t>BUDI SANTOSO</t>
  </si>
  <si>
    <t>1503082407900001</t>
  </si>
  <si>
    <t>RT 10 PADANG BIRAU</t>
  </si>
  <si>
    <t>DONI CANDRA</t>
  </si>
  <si>
    <t>1503033009770002</t>
  </si>
  <si>
    <t>EKO PRAYITNO</t>
  </si>
  <si>
    <t>1503031312940002</t>
  </si>
  <si>
    <t>FAUZI</t>
  </si>
  <si>
    <t>1503030107820254</t>
  </si>
  <si>
    <t>FIRDAUS</t>
  </si>
  <si>
    <t>1503020712870001</t>
  </si>
  <si>
    <t>HARSA</t>
  </si>
  <si>
    <t>1503034305700003</t>
  </si>
  <si>
    <t>IRMA DHAMAYANTI</t>
  </si>
  <si>
    <t>1503035207890003</t>
  </si>
  <si>
    <t>JOKO LELONO</t>
  </si>
  <si>
    <t>1503031001370002</t>
  </si>
  <si>
    <t>LIADI</t>
  </si>
  <si>
    <t>1503032612830003</t>
  </si>
  <si>
    <t>MAT FITRI</t>
  </si>
  <si>
    <t>1503032003550001</t>
  </si>
  <si>
    <t>NURAINUN</t>
  </si>
  <si>
    <t>1503036807000005</t>
  </si>
  <si>
    <t>RUDI PASPAL</t>
  </si>
  <si>
    <t>1503030906860003</t>
  </si>
  <si>
    <t>RT 12 PADANG BIRAU</t>
  </si>
  <si>
    <t>WAHONO</t>
  </si>
  <si>
    <t>1605131009690002</t>
  </si>
  <si>
    <t>RT 10 PADANG BRAU</t>
  </si>
  <si>
    <t>ZUL HIJATI</t>
  </si>
  <si>
    <t>1505115212850002</t>
  </si>
  <si>
    <t>RT. P5</t>
  </si>
  <si>
    <t>ZULKIFLI</t>
  </si>
  <si>
    <t>1503033112620028</t>
  </si>
  <si>
    <t>LADANG PANJANG</t>
  </si>
  <si>
    <t>ABDUL HAMID</t>
  </si>
  <si>
    <t>1503033012910006</t>
  </si>
  <si>
    <t>ABDULLAH</t>
  </si>
  <si>
    <t>1503030807870008</t>
  </si>
  <si>
    <t>ABI HASAN</t>
  </si>
  <si>
    <t>1503030405560005</t>
  </si>
  <si>
    <t>ALI AMRAN</t>
  </si>
  <si>
    <t>1503032606840007</t>
  </si>
  <si>
    <t>RT 8</t>
  </si>
  <si>
    <t>AMIR HASAN</t>
  </si>
  <si>
    <t>1503030306760004</t>
  </si>
  <si>
    <t>RT 4</t>
  </si>
  <si>
    <t>AMRIL KELANA</t>
  </si>
  <si>
    <t>1503030707870014</t>
  </si>
  <si>
    <t>ASSHOOLIHAH HUMAIRAH</t>
  </si>
  <si>
    <t>1503036206980001</t>
  </si>
  <si>
    <t>RT 9</t>
  </si>
  <si>
    <t>BAHTIAR</t>
  </si>
  <si>
    <t>1503030808830004</t>
  </si>
  <si>
    <t>RT 12</t>
  </si>
  <si>
    <t>DAMIRI</t>
  </si>
  <si>
    <t>1503031010780002</t>
  </si>
  <si>
    <t>RT 03</t>
  </si>
  <si>
    <t>FEBRIYANTO</t>
  </si>
  <si>
    <t>1503022302910003</t>
  </si>
  <si>
    <t>RT 11</t>
  </si>
  <si>
    <t>HAPIZAH</t>
  </si>
  <si>
    <t>1503035510840009</t>
  </si>
  <si>
    <t>RT6</t>
  </si>
  <si>
    <t>JUANDA</t>
  </si>
  <si>
    <t>1503041005930004</t>
  </si>
  <si>
    <t>M ILYAS</t>
  </si>
  <si>
    <t>1503030403710005</t>
  </si>
  <si>
    <t>RT 3</t>
  </si>
  <si>
    <t>M SAMAN</t>
  </si>
  <si>
    <t>1503031006860003</t>
  </si>
  <si>
    <t>RT 10</t>
  </si>
  <si>
    <t>MUAMAR HANANI</t>
  </si>
  <si>
    <t>1503031005840008</t>
  </si>
  <si>
    <t>PARISAH</t>
  </si>
  <si>
    <t>1503034307590003</t>
  </si>
  <si>
    <t>PAUZAN MUSLIM</t>
  </si>
  <si>
    <t>1503032504820003</t>
  </si>
  <si>
    <t>QOLSIMMULPA'I</t>
  </si>
  <si>
    <t>1503032107880003</t>
  </si>
  <si>
    <t>SADAM HUSIN</t>
  </si>
  <si>
    <t>1503030304900004</t>
  </si>
  <si>
    <t>RT8</t>
  </si>
  <si>
    <t>SAIFUL ANWAR</t>
  </si>
  <si>
    <t>1503030208750001</t>
  </si>
  <si>
    <t>SARNADI</t>
  </si>
  <si>
    <t>1503030607740002</t>
  </si>
  <si>
    <t>SITI QOIMAH</t>
  </si>
  <si>
    <t>1802075111920013</t>
  </si>
  <si>
    <t>SITI RAHMAH</t>
  </si>
  <si>
    <t>1503034807900004</t>
  </si>
  <si>
    <t>SITI SOLMAH</t>
  </si>
  <si>
    <t>1503034503730001</t>
  </si>
  <si>
    <t>SOLIHIN</t>
  </si>
  <si>
    <t>1503031505880003</t>
  </si>
  <si>
    <t>SRI WAHYUNI</t>
  </si>
  <si>
    <t>1503035801040002</t>
  </si>
  <si>
    <t>SYUKUR</t>
  </si>
  <si>
    <t>1503031502920005</t>
  </si>
  <si>
    <t>UBAIDILLAH</t>
  </si>
  <si>
    <t>1503030304910002</t>
  </si>
  <si>
    <t>DUSUN LADANG PANJANG</t>
  </si>
  <si>
    <t>WILMA YUPITRI</t>
  </si>
  <si>
    <t>1503035209960001</t>
  </si>
  <si>
    <t>YUSUF AL-QURDOWI</t>
  </si>
  <si>
    <t>ZUHRA</t>
  </si>
  <si>
    <t>1503034102730002</t>
  </si>
  <si>
    <t>SAROLANGUN KEMBANG</t>
  </si>
  <si>
    <t>RAKIMAH</t>
  </si>
  <si>
    <t>1503035707700007</t>
  </si>
  <si>
    <t>RT01, PULAU PINANG SARKAM</t>
  </si>
  <si>
    <t>SUNGAI ABANG</t>
  </si>
  <si>
    <t>MALANI</t>
  </si>
  <si>
    <t>1503036505950005</t>
  </si>
  <si>
    <t>MUNAWIR</t>
  </si>
  <si>
    <t>1503032408960011</t>
  </si>
  <si>
    <t>YUSMINAH</t>
  </si>
  <si>
    <t>1503034107950207</t>
  </si>
  <si>
    <t>RT 09 DESA SUNGAI ABANG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</si>
</sst>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>
      <sz val="11.0"/>
      <color theme="1"/>
      <name val="Calibri"/>
    </font>
    <font/>
    <font>
      <color theme="1"/>
      <name val="Calibri"/>
    </font>
    <font>
      <sz val="11.0"/>
      <color theme="1"/>
      <name val="Arial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5" numFmtId="0" xfId="0" applyBorder="1" applyFont="1"/>
    <xf borderId="4" fillId="2" fontId="2" numFmtId="0" xfId="0" applyAlignment="1" applyBorder="1" applyFill="1" applyFont="1">
      <alignment vertical="bottom"/>
    </xf>
    <xf borderId="1" fillId="0" fontId="6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shrinkToFit="0" vertical="bottom" wrapText="0"/>
    </xf>
    <xf borderId="1" fillId="0" fontId="8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horizontal="center" readingOrder="0" shrinkToFit="0" wrapText="0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25.5"/>
    <col customWidth="1" min="4" max="4" width="22.25"/>
    <col customWidth="1" min="5" max="5" width="26.63"/>
    <col customWidth="1" min="6" max="6" width="31.25"/>
    <col customWidth="1" min="8" max="8" width="6.25"/>
    <col customWidth="1" min="10" max="10" width="7.1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14" t="s">
        <v>14</v>
      </c>
      <c r="C7" s="14" t="s">
        <v>24</v>
      </c>
      <c r="D7" s="14" t="s">
        <v>26</v>
      </c>
      <c r="E7" s="15" t="s">
        <v>28</v>
      </c>
      <c r="F7" s="14" t="s">
        <v>30</v>
      </c>
      <c r="G7" s="15">
        <v>2026.0</v>
      </c>
      <c r="H7" s="16" t="str">
        <f t="shared" ref="H7:H39" si="1">IF(I7&lt;&gt;"","✓","")</f>
        <v/>
      </c>
      <c r="I7" s="19"/>
      <c r="J7" s="18"/>
      <c r="K7" s="19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14" t="s">
        <v>14</v>
      </c>
      <c r="C8" s="14" t="s">
        <v>24</v>
      </c>
      <c r="D8" s="14" t="s">
        <v>48</v>
      </c>
      <c r="E8" s="15" t="s">
        <v>49</v>
      </c>
      <c r="F8" s="14" t="s">
        <v>51</v>
      </c>
      <c r="G8" s="15">
        <v>2026.0</v>
      </c>
      <c r="H8" s="16" t="str">
        <f t="shared" si="1"/>
        <v/>
      </c>
      <c r="I8" s="19"/>
      <c r="J8" s="18"/>
      <c r="K8" s="1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14" t="s">
        <v>14</v>
      </c>
      <c r="C9" s="14" t="s">
        <v>24</v>
      </c>
      <c r="D9" s="14" t="s">
        <v>55</v>
      </c>
      <c r="E9" s="15" t="s">
        <v>56</v>
      </c>
      <c r="F9" s="14" t="s">
        <v>57</v>
      </c>
      <c r="G9" s="15">
        <v>2026.0</v>
      </c>
      <c r="H9" s="16" t="str">
        <f t="shared" si="1"/>
        <v/>
      </c>
      <c r="I9" s="19"/>
      <c r="J9" s="18"/>
      <c r="K9" s="1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>
        <v>4.0</v>
      </c>
      <c r="B10" s="14" t="s">
        <v>14</v>
      </c>
      <c r="C10" s="14" t="s">
        <v>24</v>
      </c>
      <c r="D10" s="14" t="s">
        <v>61</v>
      </c>
      <c r="E10" s="15" t="s">
        <v>63</v>
      </c>
      <c r="F10" s="14" t="s">
        <v>64</v>
      </c>
      <c r="G10" s="15">
        <v>2026.0</v>
      </c>
      <c r="H10" s="16" t="str">
        <f t="shared" si="1"/>
        <v/>
      </c>
      <c r="I10" s="19"/>
      <c r="J10" s="18"/>
      <c r="K10" s="1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2">
        <v>5.0</v>
      </c>
      <c r="B11" s="14" t="s">
        <v>14</v>
      </c>
      <c r="C11" s="14" t="s">
        <v>24</v>
      </c>
      <c r="D11" s="14" t="s">
        <v>69</v>
      </c>
      <c r="E11" s="15" t="s">
        <v>70</v>
      </c>
      <c r="F11" s="14" t="s">
        <v>30</v>
      </c>
      <c r="G11" s="15">
        <v>2026.0</v>
      </c>
      <c r="H11" s="16" t="str">
        <f t="shared" si="1"/>
        <v/>
      </c>
      <c r="I11" s="19"/>
      <c r="J11" s="18"/>
      <c r="K11" s="1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2">
        <v>6.0</v>
      </c>
      <c r="B12" s="14" t="s">
        <v>14</v>
      </c>
      <c r="C12" s="14" t="s">
        <v>24</v>
      </c>
      <c r="D12" s="14" t="s">
        <v>71</v>
      </c>
      <c r="E12" s="15" t="s">
        <v>73</v>
      </c>
      <c r="F12" s="14" t="s">
        <v>30</v>
      </c>
      <c r="G12" s="15">
        <v>2026.0</v>
      </c>
      <c r="H12" s="16" t="str">
        <f t="shared" si="1"/>
        <v/>
      </c>
      <c r="I12" s="19"/>
      <c r="J12" s="18"/>
      <c r="K12" s="1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2">
        <v>7.0</v>
      </c>
      <c r="B13" s="14" t="s">
        <v>14</v>
      </c>
      <c r="C13" s="14" t="s">
        <v>24</v>
      </c>
      <c r="D13" s="14" t="s">
        <v>77</v>
      </c>
      <c r="E13" s="15" t="s">
        <v>78</v>
      </c>
      <c r="F13" s="14" t="s">
        <v>30</v>
      </c>
      <c r="G13" s="15">
        <v>2026.0</v>
      </c>
      <c r="H13" s="16" t="str">
        <f t="shared" si="1"/>
        <v/>
      </c>
      <c r="I13" s="19"/>
      <c r="J13" s="18"/>
      <c r="K13" s="1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2">
        <v>8.0</v>
      </c>
      <c r="B14" s="14" t="s">
        <v>14</v>
      </c>
      <c r="C14" s="14" t="s">
        <v>24</v>
      </c>
      <c r="D14" s="14" t="s">
        <v>85</v>
      </c>
      <c r="E14" s="15" t="s">
        <v>86</v>
      </c>
      <c r="F14" s="14" t="s">
        <v>87</v>
      </c>
      <c r="G14" s="15">
        <v>2026.0</v>
      </c>
      <c r="H14" s="16" t="str">
        <f t="shared" si="1"/>
        <v/>
      </c>
      <c r="I14" s="19"/>
      <c r="J14" s="18"/>
      <c r="K14" s="1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2">
        <v>9.0</v>
      </c>
      <c r="B15" s="14" t="s">
        <v>14</v>
      </c>
      <c r="C15" s="14" t="s">
        <v>24</v>
      </c>
      <c r="D15" s="14" t="s">
        <v>90</v>
      </c>
      <c r="E15" s="15" t="s">
        <v>91</v>
      </c>
      <c r="F15" s="14" t="s">
        <v>92</v>
      </c>
      <c r="G15" s="15">
        <v>2026.0</v>
      </c>
      <c r="H15" s="16" t="str">
        <f t="shared" si="1"/>
        <v/>
      </c>
      <c r="I15" s="19"/>
      <c r="J15" s="18"/>
      <c r="K15" s="1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2">
        <v>10.0</v>
      </c>
      <c r="B16" s="14" t="s">
        <v>14</v>
      </c>
      <c r="C16" s="14" t="s">
        <v>24</v>
      </c>
      <c r="D16" s="14" t="s">
        <v>96</v>
      </c>
      <c r="E16" s="15" t="s">
        <v>97</v>
      </c>
      <c r="F16" s="14" t="s">
        <v>30</v>
      </c>
      <c r="G16" s="15">
        <v>2026.0</v>
      </c>
      <c r="H16" s="16" t="str">
        <f t="shared" si="1"/>
        <v/>
      </c>
      <c r="I16" s="19"/>
      <c r="J16" s="18"/>
      <c r="K16" s="1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2">
        <v>11.0</v>
      </c>
      <c r="B17" s="14" t="s">
        <v>14</v>
      </c>
      <c r="C17" s="14" t="s">
        <v>24</v>
      </c>
      <c r="D17" s="14" t="s">
        <v>100</v>
      </c>
      <c r="E17" s="15" t="s">
        <v>101</v>
      </c>
      <c r="F17" s="14" t="s">
        <v>102</v>
      </c>
      <c r="G17" s="15">
        <v>2026.0</v>
      </c>
      <c r="H17" s="16" t="str">
        <f t="shared" si="1"/>
        <v/>
      </c>
      <c r="I17" s="19"/>
      <c r="J17" s="18"/>
      <c r="K17" s="1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2">
        <v>12.0</v>
      </c>
      <c r="B18" s="14" t="s">
        <v>14</v>
      </c>
      <c r="C18" s="14" t="s">
        <v>24</v>
      </c>
      <c r="D18" s="14" t="s">
        <v>103</v>
      </c>
      <c r="E18" s="15" t="s">
        <v>105</v>
      </c>
      <c r="F18" s="14" t="s">
        <v>107</v>
      </c>
      <c r="G18" s="15">
        <v>2026.0</v>
      </c>
      <c r="H18" s="16" t="str">
        <f t="shared" si="1"/>
        <v/>
      </c>
      <c r="I18" s="19"/>
      <c r="J18" s="18"/>
      <c r="K18" s="1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2">
        <v>13.0</v>
      </c>
      <c r="B19" s="14" t="s">
        <v>14</v>
      </c>
      <c r="C19" s="14" t="s">
        <v>24</v>
      </c>
      <c r="D19" s="14" t="s">
        <v>108</v>
      </c>
      <c r="E19" s="15" t="s">
        <v>110</v>
      </c>
      <c r="F19" s="14" t="s">
        <v>64</v>
      </c>
      <c r="G19" s="15">
        <v>2026.0</v>
      </c>
      <c r="H19" s="16" t="str">
        <f t="shared" si="1"/>
        <v/>
      </c>
      <c r="I19" s="19"/>
      <c r="J19" s="18"/>
      <c r="K19" s="1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2">
        <v>14.0</v>
      </c>
      <c r="B20" s="14" t="s">
        <v>14</v>
      </c>
      <c r="C20" s="14" t="s">
        <v>24</v>
      </c>
      <c r="D20" s="14" t="s">
        <v>114</v>
      </c>
      <c r="E20" s="15" t="s">
        <v>115</v>
      </c>
      <c r="F20" s="14" t="s">
        <v>116</v>
      </c>
      <c r="G20" s="15">
        <v>2026.0</v>
      </c>
      <c r="H20" s="16" t="str">
        <f t="shared" si="1"/>
        <v/>
      </c>
      <c r="I20" s="19"/>
      <c r="J20" s="18"/>
      <c r="K20" s="1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2">
        <v>15.0</v>
      </c>
      <c r="B21" s="14" t="s">
        <v>14</v>
      </c>
      <c r="C21" s="14" t="s">
        <v>24</v>
      </c>
      <c r="D21" s="14" t="s">
        <v>119</v>
      </c>
      <c r="E21" s="15" t="s">
        <v>120</v>
      </c>
      <c r="F21" s="14" t="s">
        <v>30</v>
      </c>
      <c r="G21" s="15">
        <v>2026.0</v>
      </c>
      <c r="H21" s="16" t="str">
        <f t="shared" si="1"/>
        <v/>
      </c>
      <c r="I21" s="19"/>
      <c r="J21" s="18"/>
      <c r="K21" s="1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2">
        <v>16.0</v>
      </c>
      <c r="B22" s="14" t="s">
        <v>14</v>
      </c>
      <c r="C22" s="14" t="s">
        <v>24</v>
      </c>
      <c r="D22" s="14" t="s">
        <v>123</v>
      </c>
      <c r="E22" s="15" t="s">
        <v>124</v>
      </c>
      <c r="F22" s="14" t="s">
        <v>87</v>
      </c>
      <c r="G22" s="15">
        <v>2026.0</v>
      </c>
      <c r="H22" s="16" t="str">
        <f t="shared" si="1"/>
        <v/>
      </c>
      <c r="I22" s="19"/>
      <c r="J22" s="18"/>
      <c r="K22" s="1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2">
        <v>17.0</v>
      </c>
      <c r="B23" s="14" t="s">
        <v>14</v>
      </c>
      <c r="C23" s="14" t="s">
        <v>24</v>
      </c>
      <c r="D23" s="14" t="s">
        <v>128</v>
      </c>
      <c r="E23" s="15" t="s">
        <v>129</v>
      </c>
      <c r="F23" s="14" t="s">
        <v>57</v>
      </c>
      <c r="G23" s="15">
        <v>2026.0</v>
      </c>
      <c r="H23" s="16" t="str">
        <f t="shared" si="1"/>
        <v/>
      </c>
      <c r="I23" s="19"/>
      <c r="J23" s="18"/>
      <c r="K23" s="1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2">
        <v>18.0</v>
      </c>
      <c r="B24" s="14" t="s">
        <v>14</v>
      </c>
      <c r="C24" s="14" t="s">
        <v>24</v>
      </c>
      <c r="D24" s="14" t="s">
        <v>132</v>
      </c>
      <c r="E24" s="15" t="s">
        <v>133</v>
      </c>
      <c r="F24" s="14" t="s">
        <v>87</v>
      </c>
      <c r="G24" s="15">
        <v>2026.0</v>
      </c>
      <c r="H24" s="16" t="str">
        <f t="shared" si="1"/>
        <v/>
      </c>
      <c r="I24" s="19"/>
      <c r="J24" s="18"/>
      <c r="K24" s="1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2">
        <v>19.0</v>
      </c>
      <c r="B25" s="14" t="s">
        <v>14</v>
      </c>
      <c r="C25" s="14" t="s">
        <v>24</v>
      </c>
      <c r="D25" s="14" t="s">
        <v>134</v>
      </c>
      <c r="E25" s="15" t="s">
        <v>135</v>
      </c>
      <c r="F25" s="14" t="s">
        <v>30</v>
      </c>
      <c r="G25" s="15">
        <v>2026.0</v>
      </c>
      <c r="H25" s="16" t="str">
        <f t="shared" si="1"/>
        <v/>
      </c>
      <c r="I25" s="19"/>
      <c r="J25" s="18"/>
      <c r="K25" s="1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2">
        <v>20.0</v>
      </c>
      <c r="B26" s="14" t="s">
        <v>14</v>
      </c>
      <c r="C26" s="14" t="s">
        <v>24</v>
      </c>
      <c r="D26" s="14" t="s">
        <v>136</v>
      </c>
      <c r="E26" s="15" t="s">
        <v>137</v>
      </c>
      <c r="F26" s="14" t="s">
        <v>51</v>
      </c>
      <c r="G26" s="15">
        <v>2026.0</v>
      </c>
      <c r="H26" s="16" t="str">
        <f t="shared" si="1"/>
        <v/>
      </c>
      <c r="I26" s="19"/>
      <c r="J26" s="18"/>
      <c r="K26" s="1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2">
        <v>21.0</v>
      </c>
      <c r="B27" s="14" t="s">
        <v>14</v>
      </c>
      <c r="C27" s="14" t="s">
        <v>24</v>
      </c>
      <c r="D27" s="14" t="s">
        <v>138</v>
      </c>
      <c r="E27" s="15" t="s">
        <v>139</v>
      </c>
      <c r="F27" s="14" t="s">
        <v>30</v>
      </c>
      <c r="G27" s="15">
        <v>2026.0</v>
      </c>
      <c r="H27" s="16" t="str">
        <f t="shared" si="1"/>
        <v/>
      </c>
      <c r="I27" s="19"/>
      <c r="J27" s="18"/>
      <c r="K27" s="1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2">
        <v>22.0</v>
      </c>
      <c r="B28" s="14" t="s">
        <v>14</v>
      </c>
      <c r="C28" s="14" t="s">
        <v>24</v>
      </c>
      <c r="D28" s="14" t="s">
        <v>140</v>
      </c>
      <c r="E28" s="15" t="s">
        <v>141</v>
      </c>
      <c r="F28" s="14" t="s">
        <v>92</v>
      </c>
      <c r="G28" s="15">
        <v>2026.0</v>
      </c>
      <c r="H28" s="16" t="str">
        <f t="shared" si="1"/>
        <v/>
      </c>
      <c r="I28" s="19"/>
      <c r="J28" s="18"/>
      <c r="K28" s="1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2">
        <v>23.0</v>
      </c>
      <c r="B29" s="14" t="s">
        <v>14</v>
      </c>
      <c r="C29" s="14" t="s">
        <v>24</v>
      </c>
      <c r="D29" s="14" t="s">
        <v>142</v>
      </c>
      <c r="E29" s="15" t="s">
        <v>143</v>
      </c>
      <c r="F29" s="14" t="s">
        <v>144</v>
      </c>
      <c r="G29" s="15">
        <v>2026.0</v>
      </c>
      <c r="H29" s="16" t="str">
        <f t="shared" si="1"/>
        <v/>
      </c>
      <c r="I29" s="19"/>
      <c r="J29" s="18"/>
      <c r="K29" s="1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2">
        <v>24.0</v>
      </c>
      <c r="B30" s="14" t="s">
        <v>14</v>
      </c>
      <c r="C30" s="14" t="s">
        <v>24</v>
      </c>
      <c r="D30" s="14" t="s">
        <v>145</v>
      </c>
      <c r="E30" s="15" t="s">
        <v>146</v>
      </c>
      <c r="F30" s="14" t="s">
        <v>147</v>
      </c>
      <c r="G30" s="15">
        <v>2026.0</v>
      </c>
      <c r="H30" s="16" t="str">
        <f t="shared" si="1"/>
        <v/>
      </c>
      <c r="I30" s="19"/>
      <c r="J30" s="18"/>
      <c r="K30" s="1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2">
        <v>25.0</v>
      </c>
      <c r="B31" s="14" t="s">
        <v>14</v>
      </c>
      <c r="C31" s="14" t="s">
        <v>24</v>
      </c>
      <c r="D31" s="14" t="s">
        <v>148</v>
      </c>
      <c r="E31" s="15" t="s">
        <v>149</v>
      </c>
      <c r="F31" s="14" t="s">
        <v>116</v>
      </c>
      <c r="G31" s="15">
        <v>2026.0</v>
      </c>
      <c r="H31" s="16" t="str">
        <f t="shared" si="1"/>
        <v/>
      </c>
      <c r="I31" s="19"/>
      <c r="J31" s="18"/>
      <c r="K31" s="1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2">
        <v>26.0</v>
      </c>
      <c r="B32" s="14" t="s">
        <v>14</v>
      </c>
      <c r="C32" s="14" t="s">
        <v>24</v>
      </c>
      <c r="D32" s="14" t="s">
        <v>150</v>
      </c>
      <c r="E32" s="15" t="s">
        <v>151</v>
      </c>
      <c r="F32" s="14" t="s">
        <v>107</v>
      </c>
      <c r="G32" s="15">
        <v>2026.0</v>
      </c>
      <c r="H32" s="16" t="str">
        <f t="shared" si="1"/>
        <v/>
      </c>
      <c r="I32" s="19"/>
      <c r="J32" s="18"/>
      <c r="K32" s="19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2">
        <v>27.0</v>
      </c>
      <c r="B33" s="14" t="s">
        <v>14</v>
      </c>
      <c r="C33" s="14" t="s">
        <v>24</v>
      </c>
      <c r="D33" s="14" t="s">
        <v>152</v>
      </c>
      <c r="E33" s="15" t="s">
        <v>153</v>
      </c>
      <c r="F33" s="14" t="s">
        <v>92</v>
      </c>
      <c r="G33" s="15">
        <v>2026.0</v>
      </c>
      <c r="H33" s="16" t="str">
        <f t="shared" si="1"/>
        <v/>
      </c>
      <c r="I33" s="19"/>
      <c r="J33" s="18"/>
      <c r="K33" s="19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2">
        <v>28.0</v>
      </c>
      <c r="B34" s="11" t="s">
        <v>14</v>
      </c>
      <c r="C34" s="11" t="s">
        <v>24</v>
      </c>
      <c r="D34" s="11" t="s">
        <v>154</v>
      </c>
      <c r="E34" s="11" t="s">
        <v>49</v>
      </c>
      <c r="F34" s="11" t="s">
        <v>95</v>
      </c>
      <c r="G34" s="13"/>
      <c r="H34" s="16" t="str">
        <f t="shared" si="1"/>
        <v>✓</v>
      </c>
      <c r="I34" s="17">
        <v>2025.0</v>
      </c>
      <c r="J34" s="18"/>
      <c r="K34" s="19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2">
        <v>29.0</v>
      </c>
      <c r="B35" s="11" t="s">
        <v>14</v>
      </c>
      <c r="C35" s="11" t="s">
        <v>24</v>
      </c>
      <c r="D35" s="11" t="s">
        <v>155</v>
      </c>
      <c r="E35" s="11" t="s">
        <v>101</v>
      </c>
      <c r="F35" s="11" t="s">
        <v>156</v>
      </c>
      <c r="G35" s="13"/>
      <c r="H35" s="16" t="str">
        <f t="shared" si="1"/>
        <v>✓</v>
      </c>
      <c r="I35" s="17">
        <v>2025.0</v>
      </c>
      <c r="J35" s="18"/>
      <c r="K35" s="19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2">
        <v>30.0</v>
      </c>
      <c r="B36" s="11" t="s">
        <v>14</v>
      </c>
      <c r="C36" s="11" t="s">
        <v>24</v>
      </c>
      <c r="D36" s="11" t="s">
        <v>114</v>
      </c>
      <c r="E36" s="11" t="s">
        <v>115</v>
      </c>
      <c r="F36" s="11" t="s">
        <v>83</v>
      </c>
      <c r="G36" s="13"/>
      <c r="H36" s="16" t="str">
        <f t="shared" si="1"/>
        <v>✓</v>
      </c>
      <c r="I36" s="17">
        <v>2025.0</v>
      </c>
      <c r="J36" s="18"/>
      <c r="K36" s="19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2">
        <v>31.0</v>
      </c>
      <c r="B37" s="11" t="s">
        <v>14</v>
      </c>
      <c r="C37" s="11" t="s">
        <v>24</v>
      </c>
      <c r="D37" s="11" t="s">
        <v>157</v>
      </c>
      <c r="E37" s="11">
        <v>1.50303470784001E15</v>
      </c>
      <c r="F37" s="11" t="s">
        <v>158</v>
      </c>
      <c r="G37" s="13"/>
      <c r="H37" s="16" t="str">
        <f t="shared" si="1"/>
        <v>✓</v>
      </c>
      <c r="I37" s="17">
        <v>2025.0</v>
      </c>
      <c r="J37" s="18"/>
      <c r="K37" s="19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2">
        <v>32.0</v>
      </c>
      <c r="B38" s="11" t="s">
        <v>14</v>
      </c>
      <c r="C38" s="11" t="s">
        <v>24</v>
      </c>
      <c r="D38" s="11" t="s">
        <v>136</v>
      </c>
      <c r="E38" s="11" t="s">
        <v>137</v>
      </c>
      <c r="F38" s="11" t="s">
        <v>95</v>
      </c>
      <c r="G38" s="13"/>
      <c r="H38" s="16" t="str">
        <f t="shared" si="1"/>
        <v>✓</v>
      </c>
      <c r="I38" s="17">
        <v>2025.0</v>
      </c>
      <c r="J38" s="18"/>
      <c r="K38" s="19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2">
        <v>33.0</v>
      </c>
      <c r="B39" s="11" t="s">
        <v>14</v>
      </c>
      <c r="C39" s="11" t="s">
        <v>24</v>
      </c>
      <c r="D39" s="11" t="s">
        <v>148</v>
      </c>
      <c r="E39" s="11" t="s">
        <v>149</v>
      </c>
      <c r="F39" s="11" t="s">
        <v>159</v>
      </c>
      <c r="G39" s="13"/>
      <c r="H39" s="16" t="str">
        <f t="shared" si="1"/>
        <v>✓</v>
      </c>
      <c r="I39" s="17">
        <v>2025.0</v>
      </c>
      <c r="J39" s="18"/>
      <c r="K39" s="19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25.5"/>
    <col customWidth="1" min="4" max="4" width="22.25"/>
    <col customWidth="1" min="5" max="5" width="26.63"/>
    <col customWidth="1" min="6" max="6" width="31.25"/>
    <col customWidth="1" min="8" max="8" width="6.25"/>
    <col customWidth="1" min="10" max="10" width="7.1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4" t="s">
        <v>14</v>
      </c>
      <c r="C7" s="14" t="s">
        <v>23</v>
      </c>
      <c r="D7" s="14" t="s">
        <v>25</v>
      </c>
      <c r="E7" s="15" t="s">
        <v>27</v>
      </c>
      <c r="F7" s="14" t="s">
        <v>29</v>
      </c>
      <c r="G7" s="15">
        <v>2026.0</v>
      </c>
      <c r="H7" s="16" t="str">
        <f t="shared" ref="H7:H13" si="1">IF(I7&lt;&gt;"","✓","")</f>
        <v/>
      </c>
      <c r="I7" s="19"/>
      <c r="J7" s="18"/>
      <c r="K7" s="19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4" t="s">
        <v>14</v>
      </c>
      <c r="C8" s="14" t="s">
        <v>23</v>
      </c>
      <c r="D8" s="14" t="s">
        <v>37</v>
      </c>
      <c r="E8" s="15" t="s">
        <v>38</v>
      </c>
      <c r="F8" s="14" t="s">
        <v>29</v>
      </c>
      <c r="G8" s="15">
        <v>2026.0</v>
      </c>
      <c r="H8" s="16" t="str">
        <f t="shared" si="1"/>
        <v/>
      </c>
      <c r="I8" s="19"/>
      <c r="J8" s="18"/>
      <c r="K8" s="1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4" t="s">
        <v>14</v>
      </c>
      <c r="C9" s="14" t="s">
        <v>23</v>
      </c>
      <c r="D9" s="14" t="s">
        <v>45</v>
      </c>
      <c r="E9" s="15" t="s">
        <v>46</v>
      </c>
      <c r="F9" s="14" t="s">
        <v>47</v>
      </c>
      <c r="G9" s="15">
        <v>2026.0</v>
      </c>
      <c r="H9" s="16" t="str">
        <f t="shared" si="1"/>
        <v/>
      </c>
      <c r="I9" s="19"/>
      <c r="J9" s="18"/>
      <c r="K9" s="1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4" t="s">
        <v>14</v>
      </c>
      <c r="C10" s="14" t="s">
        <v>23</v>
      </c>
      <c r="D10" s="14" t="s">
        <v>53</v>
      </c>
      <c r="E10" s="15" t="s">
        <v>54</v>
      </c>
      <c r="F10" s="14" t="s">
        <v>47</v>
      </c>
      <c r="G10" s="15">
        <v>2026.0</v>
      </c>
      <c r="H10" s="16" t="str">
        <f t="shared" si="1"/>
        <v/>
      </c>
      <c r="I10" s="19"/>
      <c r="J10" s="18"/>
      <c r="K10" s="1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4" t="s">
        <v>14</v>
      </c>
      <c r="C11" s="14" t="s">
        <v>23</v>
      </c>
      <c r="D11" s="14" t="s">
        <v>62</v>
      </c>
      <c r="E11" s="15" t="s">
        <v>65</v>
      </c>
      <c r="F11" s="14" t="s">
        <v>66</v>
      </c>
      <c r="G11" s="15">
        <v>2026.0</v>
      </c>
      <c r="H11" s="16" t="str">
        <f t="shared" si="1"/>
        <v/>
      </c>
      <c r="I11" s="19"/>
      <c r="J11" s="18"/>
      <c r="K11" s="1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4" t="s">
        <v>14</v>
      </c>
      <c r="C12" s="14" t="s">
        <v>23</v>
      </c>
      <c r="D12" s="14" t="s">
        <v>72</v>
      </c>
      <c r="E12" s="15" t="s">
        <v>75</v>
      </c>
      <c r="F12" s="14" t="s">
        <v>66</v>
      </c>
      <c r="G12" s="15">
        <v>2026.0</v>
      </c>
      <c r="H12" s="16" t="str">
        <f t="shared" si="1"/>
        <v/>
      </c>
      <c r="I12" s="19"/>
      <c r="J12" s="18"/>
      <c r="K12" s="1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4" t="s">
        <v>14</v>
      </c>
      <c r="C13" s="14" t="s">
        <v>23</v>
      </c>
      <c r="D13" s="14" t="s">
        <v>79</v>
      </c>
      <c r="E13" s="15" t="s">
        <v>81</v>
      </c>
      <c r="F13" s="14" t="s">
        <v>83</v>
      </c>
      <c r="G13" s="15">
        <v>2026.0</v>
      </c>
      <c r="H13" s="16" t="str">
        <f t="shared" si="1"/>
        <v/>
      </c>
      <c r="I13" s="19"/>
      <c r="J13" s="18"/>
      <c r="K13" s="1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</sheetData>
  <mergeCells count="4">
    <mergeCell ref="A1:K1"/>
    <mergeCell ref="A2:K2"/>
    <mergeCell ref="A3:K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25.5"/>
    <col customWidth="1" min="4" max="4" width="22.25"/>
    <col customWidth="1" min="5" max="5" width="26.63"/>
    <col customWidth="1" min="6" max="6" width="31.25"/>
    <col customWidth="1" min="8" max="8" width="6.25"/>
    <col customWidth="1" min="10" max="10" width="7.1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1" t="s">
        <v>15</v>
      </c>
      <c r="D7" s="11" t="s">
        <v>17</v>
      </c>
      <c r="E7" s="11" t="s">
        <v>18</v>
      </c>
      <c r="F7" s="11" t="s">
        <v>20</v>
      </c>
      <c r="G7" s="13"/>
      <c r="H7" s="16" t="str">
        <f>IF(I7&lt;&gt;"","✓","")</f>
        <v>✓</v>
      </c>
      <c r="I7" s="17">
        <v>2025.0</v>
      </c>
      <c r="J7" s="18"/>
      <c r="K7" s="19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</sheetData>
  <mergeCells count="4">
    <mergeCell ref="A1:K1"/>
    <mergeCell ref="A2:K2"/>
    <mergeCell ref="A3:K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25.5"/>
    <col customWidth="1" min="4" max="4" width="22.25"/>
    <col customWidth="1" min="5" max="5" width="26.63"/>
    <col customWidth="1" min="6" max="6" width="31.25"/>
    <col customWidth="1" min="8" max="8" width="6.25"/>
    <col customWidth="1" min="10" max="10" width="7.1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1" t="s">
        <v>16</v>
      </c>
      <c r="D7" s="11" t="s">
        <v>19</v>
      </c>
      <c r="E7" s="11" t="s">
        <v>21</v>
      </c>
      <c r="F7" s="11" t="s">
        <v>22</v>
      </c>
      <c r="G7" s="13"/>
      <c r="H7" s="16" t="str">
        <f t="shared" ref="H7:H26" si="1">IF(I7&lt;&gt;"","✓","")</f>
        <v>✓</v>
      </c>
      <c r="I7" s="17">
        <v>2025.0</v>
      </c>
      <c r="J7" s="18"/>
      <c r="K7" s="19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1" t="s">
        <v>14</v>
      </c>
      <c r="C8" s="11" t="s">
        <v>16</v>
      </c>
      <c r="D8" s="11" t="s">
        <v>31</v>
      </c>
      <c r="E8" s="11" t="s">
        <v>32</v>
      </c>
      <c r="F8" s="11" t="s">
        <v>33</v>
      </c>
      <c r="G8" s="13"/>
      <c r="H8" s="16" t="str">
        <f t="shared" si="1"/>
        <v>✓</v>
      </c>
      <c r="I8" s="17">
        <v>2025.0</v>
      </c>
      <c r="J8" s="18"/>
      <c r="K8" s="1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1" t="s">
        <v>14</v>
      </c>
      <c r="C9" s="11" t="s">
        <v>16</v>
      </c>
      <c r="D9" s="11" t="s">
        <v>34</v>
      </c>
      <c r="E9" s="11" t="s">
        <v>35</v>
      </c>
      <c r="F9" s="11" t="s">
        <v>36</v>
      </c>
      <c r="G9" s="13"/>
      <c r="H9" s="16" t="str">
        <f t="shared" si="1"/>
        <v>✓</v>
      </c>
      <c r="I9" s="17">
        <v>2025.0</v>
      </c>
      <c r="J9" s="18"/>
      <c r="K9" s="1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1" t="s">
        <v>14</v>
      </c>
      <c r="C10" s="11" t="s">
        <v>16</v>
      </c>
      <c r="D10" s="11" t="s">
        <v>39</v>
      </c>
      <c r="E10" s="11" t="s">
        <v>40</v>
      </c>
      <c r="F10" s="11" t="s">
        <v>41</v>
      </c>
      <c r="G10" s="13"/>
      <c r="H10" s="16" t="str">
        <f t="shared" si="1"/>
        <v>✓</v>
      </c>
      <c r="I10" s="17">
        <v>2025.0</v>
      </c>
      <c r="J10" s="18"/>
      <c r="K10" s="1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1" t="s">
        <v>14</v>
      </c>
      <c r="C11" s="11" t="s">
        <v>16</v>
      </c>
      <c r="D11" s="11" t="s">
        <v>42</v>
      </c>
      <c r="E11" s="11" t="s">
        <v>43</v>
      </c>
      <c r="F11" s="11" t="s">
        <v>44</v>
      </c>
      <c r="G11" s="13"/>
      <c r="H11" s="16" t="str">
        <f t="shared" si="1"/>
        <v>✓</v>
      </c>
      <c r="I11" s="17">
        <v>2025.0</v>
      </c>
      <c r="J11" s="18"/>
      <c r="K11" s="1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1" t="s">
        <v>14</v>
      </c>
      <c r="C12" s="11" t="s">
        <v>16</v>
      </c>
      <c r="D12" s="11" t="s">
        <v>50</v>
      </c>
      <c r="E12" s="11" t="s">
        <v>52</v>
      </c>
      <c r="F12" s="11" t="s">
        <v>16</v>
      </c>
      <c r="G12" s="13"/>
      <c r="H12" s="16" t="str">
        <f t="shared" si="1"/>
        <v>✓</v>
      </c>
      <c r="I12" s="17">
        <v>2025.0</v>
      </c>
      <c r="J12" s="18"/>
      <c r="K12" s="1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1" t="s">
        <v>14</v>
      </c>
      <c r="C13" s="11" t="s">
        <v>16</v>
      </c>
      <c r="D13" s="11" t="s">
        <v>58</v>
      </c>
      <c r="E13" s="11" t="s">
        <v>59</v>
      </c>
      <c r="F13" s="11" t="s">
        <v>60</v>
      </c>
      <c r="G13" s="13"/>
      <c r="H13" s="16" t="str">
        <f t="shared" si="1"/>
        <v>✓</v>
      </c>
      <c r="I13" s="17">
        <v>2025.0</v>
      </c>
      <c r="J13" s="18"/>
      <c r="K13" s="1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1" t="s">
        <v>14</v>
      </c>
      <c r="C14" s="11" t="s">
        <v>16</v>
      </c>
      <c r="D14" s="11" t="s">
        <v>67</v>
      </c>
      <c r="E14" s="11" t="s">
        <v>68</v>
      </c>
      <c r="F14" s="11" t="s">
        <v>16</v>
      </c>
      <c r="G14" s="13"/>
      <c r="H14" s="16" t="str">
        <f t="shared" si="1"/>
        <v>✓</v>
      </c>
      <c r="I14" s="17">
        <v>2025.0</v>
      </c>
      <c r="J14" s="18"/>
      <c r="K14" s="1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1" t="s">
        <v>14</v>
      </c>
      <c r="C15" s="11" t="s">
        <v>16</v>
      </c>
      <c r="D15" s="11" t="s">
        <v>74</v>
      </c>
      <c r="E15" s="11" t="s">
        <v>76</v>
      </c>
      <c r="F15" s="11" t="s">
        <v>60</v>
      </c>
      <c r="G15" s="13"/>
      <c r="H15" s="16" t="str">
        <f t="shared" si="1"/>
        <v>✓</v>
      </c>
      <c r="I15" s="17">
        <v>2025.0</v>
      </c>
      <c r="J15" s="18"/>
      <c r="K15" s="1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1" t="s">
        <v>14</v>
      </c>
      <c r="C16" s="11" t="s">
        <v>16</v>
      </c>
      <c r="D16" s="11" t="s">
        <v>80</v>
      </c>
      <c r="E16" s="11" t="s">
        <v>82</v>
      </c>
      <c r="F16" s="11" t="s">
        <v>84</v>
      </c>
      <c r="G16" s="13"/>
      <c r="H16" s="16" t="str">
        <f t="shared" si="1"/>
        <v>✓</v>
      </c>
      <c r="I16" s="17">
        <v>2025.0</v>
      </c>
      <c r="J16" s="18"/>
      <c r="K16" s="1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1" t="s">
        <v>14</v>
      </c>
      <c r="C17" s="11" t="s">
        <v>16</v>
      </c>
      <c r="D17" s="11" t="s">
        <v>88</v>
      </c>
      <c r="E17" s="11" t="s">
        <v>89</v>
      </c>
      <c r="F17" s="11" t="s">
        <v>44</v>
      </c>
      <c r="G17" s="13"/>
      <c r="H17" s="16" t="str">
        <f t="shared" si="1"/>
        <v>✓</v>
      </c>
      <c r="I17" s="17">
        <v>2025.0</v>
      </c>
      <c r="J17" s="18"/>
      <c r="K17" s="1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1" t="s">
        <v>14</v>
      </c>
      <c r="C18" s="11" t="s">
        <v>16</v>
      </c>
      <c r="D18" s="11" t="s">
        <v>93</v>
      </c>
      <c r="E18" s="11" t="s">
        <v>94</v>
      </c>
      <c r="F18" s="11" t="s">
        <v>95</v>
      </c>
      <c r="G18" s="13"/>
      <c r="H18" s="16" t="str">
        <f t="shared" si="1"/>
        <v>✓</v>
      </c>
      <c r="I18" s="17">
        <v>2025.0</v>
      </c>
      <c r="J18" s="18"/>
      <c r="K18" s="1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1" t="s">
        <v>14</v>
      </c>
      <c r="C19" s="11" t="s">
        <v>16</v>
      </c>
      <c r="D19" s="11" t="s">
        <v>98</v>
      </c>
      <c r="E19" s="11" t="s">
        <v>99</v>
      </c>
      <c r="F19" s="11" t="s">
        <v>41</v>
      </c>
      <c r="G19" s="13"/>
      <c r="H19" s="16" t="str">
        <f t="shared" si="1"/>
        <v>✓</v>
      </c>
      <c r="I19" s="17">
        <v>2025.0</v>
      </c>
      <c r="J19" s="18"/>
      <c r="K19" s="1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">
        <v>14.0</v>
      </c>
      <c r="B20" s="11" t="s">
        <v>14</v>
      </c>
      <c r="C20" s="11" t="s">
        <v>16</v>
      </c>
      <c r="D20" s="11" t="s">
        <v>104</v>
      </c>
      <c r="E20" s="11" t="s">
        <v>106</v>
      </c>
      <c r="F20" s="11" t="s">
        <v>60</v>
      </c>
      <c r="G20" s="13"/>
      <c r="H20" s="16" t="str">
        <f t="shared" si="1"/>
        <v>✓</v>
      </c>
      <c r="I20" s="17">
        <v>2025.0</v>
      </c>
      <c r="J20" s="18"/>
      <c r="K20" s="1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">
        <v>15.0</v>
      </c>
      <c r="B21" s="11" t="s">
        <v>14</v>
      </c>
      <c r="C21" s="11" t="s">
        <v>16</v>
      </c>
      <c r="D21" s="11" t="s">
        <v>109</v>
      </c>
      <c r="E21" s="11" t="s">
        <v>111</v>
      </c>
      <c r="F21" s="11" t="s">
        <v>33</v>
      </c>
      <c r="G21" s="13"/>
      <c r="H21" s="16" t="str">
        <f t="shared" si="1"/>
        <v>✓</v>
      </c>
      <c r="I21" s="17">
        <v>2025.0</v>
      </c>
      <c r="J21" s="18"/>
      <c r="K21" s="1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0">
        <v>16.0</v>
      </c>
      <c r="B22" s="11" t="s">
        <v>14</v>
      </c>
      <c r="C22" s="11" t="s">
        <v>16</v>
      </c>
      <c r="D22" s="11" t="s">
        <v>112</v>
      </c>
      <c r="E22" s="11" t="s">
        <v>113</v>
      </c>
      <c r="F22" s="11" t="s">
        <v>60</v>
      </c>
      <c r="G22" s="13"/>
      <c r="H22" s="16" t="str">
        <f t="shared" si="1"/>
        <v>✓</v>
      </c>
      <c r="I22" s="17">
        <v>2025.0</v>
      </c>
      <c r="J22" s="18"/>
      <c r="K22" s="1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0">
        <v>17.0</v>
      </c>
      <c r="B23" s="11" t="s">
        <v>14</v>
      </c>
      <c r="C23" s="11" t="s">
        <v>16</v>
      </c>
      <c r="D23" s="11" t="s">
        <v>117</v>
      </c>
      <c r="E23" s="11" t="s">
        <v>118</v>
      </c>
      <c r="F23" s="11" t="s">
        <v>36</v>
      </c>
      <c r="G23" s="13"/>
      <c r="H23" s="16" t="str">
        <f t="shared" si="1"/>
        <v>✓</v>
      </c>
      <c r="I23" s="17">
        <v>2025.0</v>
      </c>
      <c r="J23" s="18"/>
      <c r="K23" s="1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0">
        <v>18.0</v>
      </c>
      <c r="B24" s="11" t="s">
        <v>14</v>
      </c>
      <c r="C24" s="11" t="s">
        <v>16</v>
      </c>
      <c r="D24" s="11" t="s">
        <v>121</v>
      </c>
      <c r="E24" s="11" t="s">
        <v>122</v>
      </c>
      <c r="F24" s="11" t="s">
        <v>36</v>
      </c>
      <c r="G24" s="13"/>
      <c r="H24" s="16" t="str">
        <f t="shared" si="1"/>
        <v>✓</v>
      </c>
      <c r="I24" s="17">
        <v>2025.0</v>
      </c>
      <c r="J24" s="18"/>
      <c r="K24" s="1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0">
        <v>19.0</v>
      </c>
      <c r="B25" s="11" t="s">
        <v>14</v>
      </c>
      <c r="C25" s="11" t="s">
        <v>16</v>
      </c>
      <c r="D25" s="11" t="s">
        <v>125</v>
      </c>
      <c r="E25" s="11" t="s">
        <v>126</v>
      </c>
      <c r="F25" s="11" t="s">
        <v>127</v>
      </c>
      <c r="G25" s="13"/>
      <c r="H25" s="16" t="str">
        <f t="shared" si="1"/>
        <v>✓</v>
      </c>
      <c r="I25" s="17">
        <v>2025.0</v>
      </c>
      <c r="J25" s="18"/>
      <c r="K25" s="1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0">
        <v>20.0</v>
      </c>
      <c r="B26" s="11" t="s">
        <v>14</v>
      </c>
      <c r="C26" s="11" t="s">
        <v>16</v>
      </c>
      <c r="D26" s="11" t="s">
        <v>130</v>
      </c>
      <c r="E26" s="11" t="s">
        <v>131</v>
      </c>
      <c r="F26" s="11" t="s">
        <v>16</v>
      </c>
      <c r="G26" s="13"/>
      <c r="H26" s="16" t="str">
        <f t="shared" si="1"/>
        <v>✓</v>
      </c>
      <c r="I26" s="17">
        <v>2025.0</v>
      </c>
      <c r="J26" s="18"/>
      <c r="K26" s="1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</sheetData>
  <mergeCells count="4">
    <mergeCell ref="A1:K1"/>
    <mergeCell ref="A2:K2"/>
    <mergeCell ref="A3:K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25.5"/>
    <col customWidth="1" min="4" max="4" width="22.25"/>
    <col customWidth="1" min="5" max="5" width="26.63"/>
    <col customWidth="1" min="6" max="6" width="31.25"/>
    <col customWidth="1" min="8" max="8" width="6.25"/>
    <col customWidth="1" min="10" max="10" width="7.1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1" t="s">
        <v>160</v>
      </c>
      <c r="D7" s="11" t="s">
        <v>161</v>
      </c>
      <c r="E7" s="11" t="s">
        <v>162</v>
      </c>
      <c r="F7" s="11" t="s">
        <v>163</v>
      </c>
      <c r="G7" s="13"/>
      <c r="H7" s="16" t="str">
        <f t="shared" ref="H7:H14" si="1">IF(I7&lt;&gt;"","✓","")</f>
        <v>✓</v>
      </c>
      <c r="I7" s="17">
        <v>2025.0</v>
      </c>
      <c r="J7" s="18"/>
      <c r="K7" s="19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1" t="s">
        <v>14</v>
      </c>
      <c r="C8" s="11" t="s">
        <v>160</v>
      </c>
      <c r="D8" s="11" t="s">
        <v>164</v>
      </c>
      <c r="E8" s="11" t="s">
        <v>165</v>
      </c>
      <c r="F8" s="11" t="s">
        <v>163</v>
      </c>
      <c r="G8" s="13"/>
      <c r="H8" s="16" t="str">
        <f t="shared" si="1"/>
        <v>✓</v>
      </c>
      <c r="I8" s="17">
        <v>2025.0</v>
      </c>
      <c r="J8" s="18"/>
      <c r="K8" s="1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1" t="s">
        <v>14</v>
      </c>
      <c r="C9" s="11" t="s">
        <v>160</v>
      </c>
      <c r="D9" s="11" t="s">
        <v>166</v>
      </c>
      <c r="E9" s="11" t="s">
        <v>167</v>
      </c>
      <c r="F9" s="11" t="s">
        <v>168</v>
      </c>
      <c r="G9" s="13"/>
      <c r="H9" s="16" t="str">
        <f t="shared" si="1"/>
        <v>✓</v>
      </c>
      <c r="I9" s="17">
        <v>2025.0</v>
      </c>
      <c r="J9" s="18"/>
      <c r="K9" s="1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1" t="s">
        <v>14</v>
      </c>
      <c r="C10" s="11" t="s">
        <v>160</v>
      </c>
      <c r="D10" s="11" t="s">
        <v>169</v>
      </c>
      <c r="E10" s="11" t="s">
        <v>170</v>
      </c>
      <c r="F10" s="11" t="s">
        <v>171</v>
      </c>
      <c r="G10" s="13"/>
      <c r="H10" s="16" t="str">
        <f t="shared" si="1"/>
        <v>✓</v>
      </c>
      <c r="I10" s="17">
        <v>2025.0</v>
      </c>
      <c r="J10" s="18"/>
      <c r="K10" s="1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1" t="s">
        <v>14</v>
      </c>
      <c r="C11" s="11" t="s">
        <v>160</v>
      </c>
      <c r="D11" s="11" t="s">
        <v>172</v>
      </c>
      <c r="E11" s="11" t="s">
        <v>173</v>
      </c>
      <c r="F11" s="11" t="s">
        <v>174</v>
      </c>
      <c r="G11" s="13"/>
      <c r="H11" s="16" t="str">
        <f t="shared" si="1"/>
        <v>✓</v>
      </c>
      <c r="I11" s="17">
        <v>2025.0</v>
      </c>
      <c r="J11" s="18"/>
      <c r="K11" s="1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1" t="s">
        <v>14</v>
      </c>
      <c r="C12" s="11" t="s">
        <v>160</v>
      </c>
      <c r="D12" s="11" t="s">
        <v>175</v>
      </c>
      <c r="E12" s="11" t="s">
        <v>176</v>
      </c>
      <c r="F12" s="11" t="s">
        <v>168</v>
      </c>
      <c r="G12" s="13"/>
      <c r="H12" s="16" t="str">
        <f t="shared" si="1"/>
        <v>✓</v>
      </c>
      <c r="I12" s="17">
        <v>2025.0</v>
      </c>
      <c r="J12" s="18"/>
      <c r="K12" s="1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1" t="s">
        <v>14</v>
      </c>
      <c r="C13" s="11" t="s">
        <v>160</v>
      </c>
      <c r="D13" s="11" t="s">
        <v>177</v>
      </c>
      <c r="E13" s="11" t="s">
        <v>178</v>
      </c>
      <c r="F13" s="11" t="s">
        <v>168</v>
      </c>
      <c r="G13" s="13"/>
      <c r="H13" s="16" t="str">
        <f t="shared" si="1"/>
        <v>✓</v>
      </c>
      <c r="I13" s="17">
        <v>2025.0</v>
      </c>
      <c r="J13" s="18"/>
      <c r="K13" s="1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1" t="s">
        <v>14</v>
      </c>
      <c r="C14" s="11" t="s">
        <v>160</v>
      </c>
      <c r="D14" s="11" t="s">
        <v>179</v>
      </c>
      <c r="E14" s="11" t="s">
        <v>180</v>
      </c>
      <c r="F14" s="11" t="s">
        <v>171</v>
      </c>
      <c r="G14" s="13"/>
      <c r="H14" s="16" t="str">
        <f t="shared" si="1"/>
        <v>✓</v>
      </c>
      <c r="I14" s="17">
        <v>2025.0</v>
      </c>
      <c r="J14" s="18"/>
      <c r="K14" s="1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</sheetData>
  <mergeCells count="4">
    <mergeCell ref="A1:K1"/>
    <mergeCell ref="A2:K2"/>
    <mergeCell ref="A3:K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25.5"/>
    <col customWidth="1" min="4" max="4" width="22.25"/>
    <col customWidth="1" min="5" max="5" width="26.63"/>
    <col customWidth="1" min="6" max="6" width="31.25"/>
    <col customWidth="1" min="8" max="8" width="6.25"/>
    <col customWidth="1" min="10" max="10" width="7.1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1" t="s">
        <v>181</v>
      </c>
      <c r="D7" s="11" t="s">
        <v>182</v>
      </c>
      <c r="E7" s="11" t="s">
        <v>183</v>
      </c>
      <c r="F7" s="11" t="s">
        <v>184</v>
      </c>
      <c r="G7" s="13"/>
      <c r="H7" s="16" t="str">
        <f t="shared" ref="H7:H22" si="1">IF(I7&lt;&gt;"","✓","")</f>
        <v>✓</v>
      </c>
      <c r="I7" s="17">
        <v>2025.0</v>
      </c>
      <c r="J7" s="18"/>
      <c r="K7" s="19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1" t="s">
        <v>14</v>
      </c>
      <c r="C8" s="11" t="s">
        <v>181</v>
      </c>
      <c r="D8" s="11" t="s">
        <v>185</v>
      </c>
      <c r="E8" s="11" t="s">
        <v>186</v>
      </c>
      <c r="F8" s="11" t="s">
        <v>187</v>
      </c>
      <c r="G8" s="13"/>
      <c r="H8" s="16" t="str">
        <f t="shared" si="1"/>
        <v>✓</v>
      </c>
      <c r="I8" s="17">
        <v>2025.0</v>
      </c>
      <c r="J8" s="18"/>
      <c r="K8" s="1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1" t="s">
        <v>14</v>
      </c>
      <c r="C9" s="11" t="s">
        <v>181</v>
      </c>
      <c r="D9" s="11" t="s">
        <v>188</v>
      </c>
      <c r="E9" s="11" t="s">
        <v>189</v>
      </c>
      <c r="F9" s="11" t="s">
        <v>60</v>
      </c>
      <c r="G9" s="13"/>
      <c r="H9" s="16" t="str">
        <f t="shared" si="1"/>
        <v>✓</v>
      </c>
      <c r="I9" s="17">
        <v>2025.0</v>
      </c>
      <c r="J9" s="18"/>
      <c r="K9" s="1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1" t="s">
        <v>14</v>
      </c>
      <c r="C10" s="11" t="s">
        <v>181</v>
      </c>
      <c r="D10" s="11" t="s">
        <v>190</v>
      </c>
      <c r="E10" s="11" t="s">
        <v>191</v>
      </c>
      <c r="F10" s="11" t="s">
        <v>158</v>
      </c>
      <c r="G10" s="13"/>
      <c r="H10" s="16" t="str">
        <f t="shared" si="1"/>
        <v>✓</v>
      </c>
      <c r="I10" s="17">
        <v>2025.0</v>
      </c>
      <c r="J10" s="18"/>
      <c r="K10" s="1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1" t="s">
        <v>14</v>
      </c>
      <c r="C11" s="11" t="s">
        <v>181</v>
      </c>
      <c r="D11" s="11" t="s">
        <v>192</v>
      </c>
      <c r="E11" s="11" t="s">
        <v>193</v>
      </c>
      <c r="F11" s="11" t="s">
        <v>184</v>
      </c>
      <c r="G11" s="13"/>
      <c r="H11" s="16" t="str">
        <f t="shared" si="1"/>
        <v>✓</v>
      </c>
      <c r="I11" s="17">
        <v>2025.0</v>
      </c>
      <c r="J11" s="18"/>
      <c r="K11" s="1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1" t="s">
        <v>14</v>
      </c>
      <c r="C12" s="11" t="s">
        <v>181</v>
      </c>
      <c r="D12" s="11" t="s">
        <v>194</v>
      </c>
      <c r="E12" s="11" t="s">
        <v>195</v>
      </c>
      <c r="F12" s="11" t="s">
        <v>47</v>
      </c>
      <c r="G12" s="13"/>
      <c r="H12" s="16" t="str">
        <f t="shared" si="1"/>
        <v>✓</v>
      </c>
      <c r="I12" s="17">
        <v>2025.0</v>
      </c>
      <c r="J12" s="18"/>
      <c r="K12" s="1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1" t="s">
        <v>14</v>
      </c>
      <c r="C13" s="11" t="s">
        <v>181</v>
      </c>
      <c r="D13" s="11" t="s">
        <v>196</v>
      </c>
      <c r="E13" s="11" t="s">
        <v>197</v>
      </c>
      <c r="F13" s="11" t="s">
        <v>33</v>
      </c>
      <c r="G13" s="13"/>
      <c r="H13" s="16" t="str">
        <f t="shared" si="1"/>
        <v>✓</v>
      </c>
      <c r="I13" s="17">
        <v>2025.0</v>
      </c>
      <c r="J13" s="18"/>
      <c r="K13" s="1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1" t="s">
        <v>14</v>
      </c>
      <c r="C14" s="11" t="s">
        <v>181</v>
      </c>
      <c r="D14" s="11" t="s">
        <v>198</v>
      </c>
      <c r="E14" s="11" t="s">
        <v>199</v>
      </c>
      <c r="F14" s="11" t="s">
        <v>60</v>
      </c>
      <c r="G14" s="13"/>
      <c r="H14" s="16" t="str">
        <f t="shared" si="1"/>
        <v>✓</v>
      </c>
      <c r="I14" s="17">
        <v>2025.0</v>
      </c>
      <c r="J14" s="18"/>
      <c r="K14" s="1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1" t="s">
        <v>14</v>
      </c>
      <c r="C15" s="11" t="s">
        <v>181</v>
      </c>
      <c r="D15" s="11" t="s">
        <v>200</v>
      </c>
      <c r="E15" s="11" t="s">
        <v>201</v>
      </c>
      <c r="F15" s="11" t="s">
        <v>84</v>
      </c>
      <c r="G15" s="13"/>
      <c r="H15" s="16" t="str">
        <f t="shared" si="1"/>
        <v>✓</v>
      </c>
      <c r="I15" s="17">
        <v>2025.0</v>
      </c>
      <c r="J15" s="18"/>
      <c r="K15" s="1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1" t="s">
        <v>14</v>
      </c>
      <c r="C16" s="11" t="s">
        <v>181</v>
      </c>
      <c r="D16" s="11" t="s">
        <v>202</v>
      </c>
      <c r="E16" s="11" t="s">
        <v>203</v>
      </c>
      <c r="F16" s="11" t="s">
        <v>60</v>
      </c>
      <c r="G16" s="13"/>
      <c r="H16" s="16" t="str">
        <f t="shared" si="1"/>
        <v>✓</v>
      </c>
      <c r="I16" s="17">
        <v>2025.0</v>
      </c>
      <c r="J16" s="18"/>
      <c r="K16" s="1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1" t="s">
        <v>14</v>
      </c>
      <c r="C17" s="11" t="s">
        <v>181</v>
      </c>
      <c r="D17" s="11" t="s">
        <v>204</v>
      </c>
      <c r="E17" s="11" t="s">
        <v>205</v>
      </c>
      <c r="F17" s="11" t="s">
        <v>60</v>
      </c>
      <c r="G17" s="13"/>
      <c r="H17" s="16" t="str">
        <f t="shared" si="1"/>
        <v>✓</v>
      </c>
      <c r="I17" s="17">
        <v>2025.0</v>
      </c>
      <c r="J17" s="18"/>
      <c r="K17" s="1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1" t="s">
        <v>14</v>
      </c>
      <c r="C18" s="11" t="s">
        <v>181</v>
      </c>
      <c r="D18" s="11" t="s">
        <v>206</v>
      </c>
      <c r="E18" s="11" t="s">
        <v>207</v>
      </c>
      <c r="F18" s="11" t="s">
        <v>60</v>
      </c>
      <c r="G18" s="13"/>
      <c r="H18" s="16" t="str">
        <f t="shared" si="1"/>
        <v>✓</v>
      </c>
      <c r="I18" s="17">
        <v>2025.0</v>
      </c>
      <c r="J18" s="18"/>
      <c r="K18" s="1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1" t="s">
        <v>14</v>
      </c>
      <c r="C19" s="11" t="s">
        <v>181</v>
      </c>
      <c r="D19" s="11" t="s">
        <v>208</v>
      </c>
      <c r="E19" s="11" t="s">
        <v>209</v>
      </c>
      <c r="F19" s="11" t="s">
        <v>210</v>
      </c>
      <c r="G19" s="13"/>
      <c r="H19" s="16" t="str">
        <f t="shared" si="1"/>
        <v>✓</v>
      </c>
      <c r="I19" s="17">
        <v>2025.0</v>
      </c>
      <c r="J19" s="18"/>
      <c r="K19" s="1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">
        <v>14.0</v>
      </c>
      <c r="B20" s="11" t="s">
        <v>14</v>
      </c>
      <c r="C20" s="11" t="s">
        <v>181</v>
      </c>
      <c r="D20" s="11" t="s">
        <v>211</v>
      </c>
      <c r="E20" s="11" t="s">
        <v>212</v>
      </c>
      <c r="F20" s="11" t="s">
        <v>213</v>
      </c>
      <c r="G20" s="13"/>
      <c r="H20" s="16" t="str">
        <f t="shared" si="1"/>
        <v>✓</v>
      </c>
      <c r="I20" s="17">
        <v>2025.0</v>
      </c>
      <c r="J20" s="18"/>
      <c r="K20" s="1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">
        <v>15.0</v>
      </c>
      <c r="B21" s="11" t="s">
        <v>14</v>
      </c>
      <c r="C21" s="11" t="s">
        <v>181</v>
      </c>
      <c r="D21" s="11" t="s">
        <v>214</v>
      </c>
      <c r="E21" s="11" t="s">
        <v>215</v>
      </c>
      <c r="F21" s="11" t="s">
        <v>216</v>
      </c>
      <c r="G21" s="13"/>
      <c r="H21" s="16" t="str">
        <f t="shared" si="1"/>
        <v>✓</v>
      </c>
      <c r="I21" s="17">
        <v>2025.0</v>
      </c>
      <c r="J21" s="18"/>
      <c r="K21" s="1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0">
        <v>16.0</v>
      </c>
      <c r="B22" s="11" t="s">
        <v>14</v>
      </c>
      <c r="C22" s="11" t="s">
        <v>181</v>
      </c>
      <c r="D22" s="11" t="s">
        <v>217</v>
      </c>
      <c r="E22" s="11" t="s">
        <v>218</v>
      </c>
      <c r="F22" s="11" t="s">
        <v>60</v>
      </c>
      <c r="G22" s="13"/>
      <c r="H22" s="16" t="str">
        <f t="shared" si="1"/>
        <v>✓</v>
      </c>
      <c r="I22" s="17">
        <v>2025.0</v>
      </c>
      <c r="J22" s="18"/>
      <c r="K22" s="1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</sheetData>
  <mergeCells count="4">
    <mergeCell ref="A1:K1"/>
    <mergeCell ref="A2:K2"/>
    <mergeCell ref="A3:K3"/>
    <mergeCell ref="H6:I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25.5"/>
    <col customWidth="1" min="4" max="4" width="22.25"/>
    <col customWidth="1" min="5" max="5" width="26.63"/>
    <col customWidth="1" min="6" max="6" width="31.25"/>
    <col customWidth="1" min="8" max="8" width="6.25"/>
    <col customWidth="1" min="10" max="10" width="7.1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1" t="s">
        <v>219</v>
      </c>
      <c r="D7" s="11" t="s">
        <v>220</v>
      </c>
      <c r="E7" s="11" t="s">
        <v>221</v>
      </c>
      <c r="F7" s="11" t="s">
        <v>158</v>
      </c>
      <c r="G7" s="13"/>
      <c r="H7" s="16" t="str">
        <f t="shared" ref="H7:H37" si="1">IF(I7&lt;&gt;"","✓","")</f>
        <v>✓</v>
      </c>
      <c r="I7" s="17">
        <v>2025.0</v>
      </c>
      <c r="J7" s="18"/>
      <c r="K7" s="19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1" t="s">
        <v>14</v>
      </c>
      <c r="C8" s="11" t="s">
        <v>219</v>
      </c>
      <c r="D8" s="11" t="s">
        <v>222</v>
      </c>
      <c r="E8" s="11" t="s">
        <v>223</v>
      </c>
      <c r="F8" s="11" t="s">
        <v>22</v>
      </c>
      <c r="G8" s="13"/>
      <c r="H8" s="16" t="str">
        <f t="shared" si="1"/>
        <v>✓</v>
      </c>
      <c r="I8" s="17">
        <v>2025.0</v>
      </c>
      <c r="J8" s="18"/>
      <c r="K8" s="1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1" t="s">
        <v>14</v>
      </c>
      <c r="C9" s="11" t="s">
        <v>219</v>
      </c>
      <c r="D9" s="11" t="s">
        <v>224</v>
      </c>
      <c r="E9" s="11" t="s">
        <v>225</v>
      </c>
      <c r="F9" s="11" t="s">
        <v>22</v>
      </c>
      <c r="G9" s="13"/>
      <c r="H9" s="16" t="str">
        <f t="shared" si="1"/>
        <v>✓</v>
      </c>
      <c r="I9" s="17">
        <v>2025.0</v>
      </c>
      <c r="J9" s="18"/>
      <c r="K9" s="1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1" t="s">
        <v>14</v>
      </c>
      <c r="C10" s="11" t="s">
        <v>219</v>
      </c>
      <c r="D10" s="11" t="s">
        <v>226</v>
      </c>
      <c r="E10" s="11" t="s">
        <v>227</v>
      </c>
      <c r="F10" s="11" t="s">
        <v>228</v>
      </c>
      <c r="G10" s="13"/>
      <c r="H10" s="16" t="str">
        <f t="shared" si="1"/>
        <v>✓</v>
      </c>
      <c r="I10" s="17">
        <v>2025.0</v>
      </c>
      <c r="J10" s="18"/>
      <c r="K10" s="1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1" t="s">
        <v>14</v>
      </c>
      <c r="C11" s="11" t="s">
        <v>219</v>
      </c>
      <c r="D11" s="11" t="s">
        <v>229</v>
      </c>
      <c r="E11" s="11" t="s">
        <v>230</v>
      </c>
      <c r="F11" s="11" t="s">
        <v>231</v>
      </c>
      <c r="G11" s="13"/>
      <c r="H11" s="16" t="str">
        <f t="shared" si="1"/>
        <v>✓</v>
      </c>
      <c r="I11" s="17">
        <v>2025.0</v>
      </c>
      <c r="J11" s="18"/>
      <c r="K11" s="1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1" t="s">
        <v>14</v>
      </c>
      <c r="C12" s="11" t="s">
        <v>219</v>
      </c>
      <c r="D12" s="11" t="s">
        <v>232</v>
      </c>
      <c r="E12" s="11" t="s">
        <v>233</v>
      </c>
      <c r="F12" s="11" t="s">
        <v>36</v>
      </c>
      <c r="G12" s="13"/>
      <c r="H12" s="16" t="str">
        <f t="shared" si="1"/>
        <v>✓</v>
      </c>
      <c r="I12" s="17">
        <v>2025.0</v>
      </c>
      <c r="J12" s="18"/>
      <c r="K12" s="1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1" t="s">
        <v>14</v>
      </c>
      <c r="C13" s="11" t="s">
        <v>219</v>
      </c>
      <c r="D13" s="11" t="s">
        <v>234</v>
      </c>
      <c r="E13" s="11" t="s">
        <v>235</v>
      </c>
      <c r="F13" s="11" t="s">
        <v>236</v>
      </c>
      <c r="G13" s="13"/>
      <c r="H13" s="16" t="str">
        <f t="shared" si="1"/>
        <v>✓</v>
      </c>
      <c r="I13" s="17">
        <v>2025.0</v>
      </c>
      <c r="J13" s="18"/>
      <c r="K13" s="1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1" t="s">
        <v>14</v>
      </c>
      <c r="C14" s="11" t="s">
        <v>219</v>
      </c>
      <c r="D14" s="11" t="s">
        <v>237</v>
      </c>
      <c r="E14" s="11" t="s">
        <v>238</v>
      </c>
      <c r="F14" s="11" t="s">
        <v>239</v>
      </c>
      <c r="G14" s="13"/>
      <c r="H14" s="16" t="str">
        <f t="shared" si="1"/>
        <v>✓</v>
      </c>
      <c r="I14" s="17">
        <v>2025.0</v>
      </c>
      <c r="J14" s="18"/>
      <c r="K14" s="1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1" t="s">
        <v>14</v>
      </c>
      <c r="C15" s="11" t="s">
        <v>219</v>
      </c>
      <c r="D15" s="11" t="s">
        <v>240</v>
      </c>
      <c r="E15" s="11" t="s">
        <v>241</v>
      </c>
      <c r="F15" s="11" t="s">
        <v>242</v>
      </c>
      <c r="G15" s="13"/>
      <c r="H15" s="16" t="str">
        <f t="shared" si="1"/>
        <v>✓</v>
      </c>
      <c r="I15" s="17">
        <v>2025.0</v>
      </c>
      <c r="J15" s="18"/>
      <c r="K15" s="1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1" t="s">
        <v>14</v>
      </c>
      <c r="C16" s="11" t="s">
        <v>219</v>
      </c>
      <c r="D16" s="11" t="s">
        <v>243</v>
      </c>
      <c r="E16" s="11" t="s">
        <v>244</v>
      </c>
      <c r="F16" s="11" t="s">
        <v>245</v>
      </c>
      <c r="G16" s="13"/>
      <c r="H16" s="16" t="str">
        <f t="shared" si="1"/>
        <v>✓</v>
      </c>
      <c r="I16" s="17">
        <v>2025.0</v>
      </c>
      <c r="J16" s="18"/>
      <c r="K16" s="1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1" t="s">
        <v>14</v>
      </c>
      <c r="C17" s="11" t="s">
        <v>219</v>
      </c>
      <c r="D17" s="11" t="s">
        <v>246</v>
      </c>
      <c r="E17" s="11" t="s">
        <v>247</v>
      </c>
      <c r="F17" s="11" t="s">
        <v>248</v>
      </c>
      <c r="G17" s="13"/>
      <c r="H17" s="16" t="str">
        <f t="shared" si="1"/>
        <v>✓</v>
      </c>
      <c r="I17" s="17">
        <v>2025.0</v>
      </c>
      <c r="J17" s="18"/>
      <c r="K17" s="1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1" t="s">
        <v>14</v>
      </c>
      <c r="C18" s="11" t="s">
        <v>219</v>
      </c>
      <c r="D18" s="11" t="s">
        <v>249</v>
      </c>
      <c r="E18" s="11" t="s">
        <v>250</v>
      </c>
      <c r="F18" s="11" t="s">
        <v>242</v>
      </c>
      <c r="G18" s="13"/>
      <c r="H18" s="16" t="str">
        <f t="shared" si="1"/>
        <v>✓</v>
      </c>
      <c r="I18" s="17">
        <v>2025.0</v>
      </c>
      <c r="J18" s="18"/>
      <c r="K18" s="1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1" t="s">
        <v>14</v>
      </c>
      <c r="C19" s="11" t="s">
        <v>219</v>
      </c>
      <c r="D19" s="11" t="s">
        <v>251</v>
      </c>
      <c r="E19" s="11" t="s">
        <v>252</v>
      </c>
      <c r="F19" s="11" t="s">
        <v>253</v>
      </c>
      <c r="G19" s="13"/>
      <c r="H19" s="16" t="str">
        <f t="shared" si="1"/>
        <v>✓</v>
      </c>
      <c r="I19" s="17">
        <v>2025.0</v>
      </c>
      <c r="J19" s="18"/>
      <c r="K19" s="1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0">
        <v>14.0</v>
      </c>
      <c r="B20" s="11" t="s">
        <v>14</v>
      </c>
      <c r="C20" s="11" t="s">
        <v>219</v>
      </c>
      <c r="D20" s="11" t="s">
        <v>254</v>
      </c>
      <c r="E20" s="11" t="s">
        <v>255</v>
      </c>
      <c r="F20" s="11" t="s">
        <v>256</v>
      </c>
      <c r="G20" s="13"/>
      <c r="H20" s="16" t="str">
        <f t="shared" si="1"/>
        <v>✓</v>
      </c>
      <c r="I20" s="17">
        <v>2025.0</v>
      </c>
      <c r="J20" s="18"/>
      <c r="K20" s="1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">
        <v>15.0</v>
      </c>
      <c r="B21" s="11" t="s">
        <v>14</v>
      </c>
      <c r="C21" s="11" t="s">
        <v>219</v>
      </c>
      <c r="D21" s="11" t="s">
        <v>257</v>
      </c>
      <c r="E21" s="11" t="s">
        <v>258</v>
      </c>
      <c r="F21" s="11" t="s">
        <v>127</v>
      </c>
      <c r="G21" s="13"/>
      <c r="H21" s="16" t="str">
        <f t="shared" si="1"/>
        <v>✓</v>
      </c>
      <c r="I21" s="17">
        <v>2025.0</v>
      </c>
      <c r="J21" s="18"/>
      <c r="K21" s="1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10">
        <v>16.0</v>
      </c>
      <c r="B22" s="11" t="s">
        <v>14</v>
      </c>
      <c r="C22" s="11" t="s">
        <v>219</v>
      </c>
      <c r="D22" s="11" t="s">
        <v>259</v>
      </c>
      <c r="E22" s="11" t="s">
        <v>260</v>
      </c>
      <c r="F22" s="11" t="s">
        <v>22</v>
      </c>
      <c r="G22" s="13"/>
      <c r="H22" s="16" t="str">
        <f t="shared" si="1"/>
        <v>✓</v>
      </c>
      <c r="I22" s="17">
        <v>2025.0</v>
      </c>
      <c r="J22" s="18"/>
      <c r="K22" s="1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0">
        <v>17.0</v>
      </c>
      <c r="B23" s="11" t="s">
        <v>14</v>
      </c>
      <c r="C23" s="11" t="s">
        <v>219</v>
      </c>
      <c r="D23" s="11" t="s">
        <v>261</v>
      </c>
      <c r="E23" s="11" t="s">
        <v>262</v>
      </c>
      <c r="F23" s="11" t="s">
        <v>231</v>
      </c>
      <c r="G23" s="13"/>
      <c r="H23" s="16" t="str">
        <f t="shared" si="1"/>
        <v>✓</v>
      </c>
      <c r="I23" s="17">
        <v>2025.0</v>
      </c>
      <c r="J23" s="18"/>
      <c r="K23" s="1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10">
        <v>18.0</v>
      </c>
      <c r="B24" s="11" t="s">
        <v>14</v>
      </c>
      <c r="C24" s="11" t="s">
        <v>219</v>
      </c>
      <c r="D24" s="11" t="s">
        <v>263</v>
      </c>
      <c r="E24" s="11" t="s">
        <v>264</v>
      </c>
      <c r="F24" s="11" t="s">
        <v>242</v>
      </c>
      <c r="G24" s="13"/>
      <c r="H24" s="16" t="str">
        <f t="shared" si="1"/>
        <v>✓</v>
      </c>
      <c r="I24" s="17">
        <v>2025.0</v>
      </c>
      <c r="J24" s="18"/>
      <c r="K24" s="1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0">
        <v>19.0</v>
      </c>
      <c r="B25" s="11" t="s">
        <v>14</v>
      </c>
      <c r="C25" s="11" t="s">
        <v>219</v>
      </c>
      <c r="D25" s="11" t="s">
        <v>265</v>
      </c>
      <c r="E25" s="11" t="s">
        <v>266</v>
      </c>
      <c r="F25" s="11" t="s">
        <v>267</v>
      </c>
      <c r="G25" s="13"/>
      <c r="H25" s="16" t="str">
        <f t="shared" si="1"/>
        <v>✓</v>
      </c>
      <c r="I25" s="17">
        <v>2025.0</v>
      </c>
      <c r="J25" s="18"/>
      <c r="K25" s="1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10">
        <v>20.0</v>
      </c>
      <c r="B26" s="11" t="s">
        <v>14</v>
      </c>
      <c r="C26" s="11" t="s">
        <v>219</v>
      </c>
      <c r="D26" s="11" t="s">
        <v>268</v>
      </c>
      <c r="E26" s="11" t="s">
        <v>269</v>
      </c>
      <c r="F26" s="11" t="s">
        <v>267</v>
      </c>
      <c r="G26" s="13"/>
      <c r="H26" s="16" t="str">
        <f t="shared" si="1"/>
        <v>✓</v>
      </c>
      <c r="I26" s="17">
        <v>2025.0</v>
      </c>
      <c r="J26" s="18"/>
      <c r="K26" s="1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0">
        <v>21.0</v>
      </c>
      <c r="B27" s="11" t="s">
        <v>14</v>
      </c>
      <c r="C27" s="11" t="s">
        <v>219</v>
      </c>
      <c r="D27" s="11" t="s">
        <v>270</v>
      </c>
      <c r="E27" s="11" t="s">
        <v>271</v>
      </c>
      <c r="F27" s="11" t="s">
        <v>231</v>
      </c>
      <c r="G27" s="13"/>
      <c r="H27" s="16" t="str">
        <f t="shared" si="1"/>
        <v>✓</v>
      </c>
      <c r="I27" s="17">
        <v>2025.0</v>
      </c>
      <c r="J27" s="18"/>
      <c r="K27" s="1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10">
        <v>22.0</v>
      </c>
      <c r="B28" s="11" t="s">
        <v>14</v>
      </c>
      <c r="C28" s="11" t="s">
        <v>219</v>
      </c>
      <c r="D28" s="11" t="s">
        <v>272</v>
      </c>
      <c r="E28" s="11" t="s">
        <v>273</v>
      </c>
      <c r="F28" s="11" t="s">
        <v>248</v>
      </c>
      <c r="G28" s="13"/>
      <c r="H28" s="16" t="str">
        <f t="shared" si="1"/>
        <v>✓</v>
      </c>
      <c r="I28" s="17">
        <v>2025.0</v>
      </c>
      <c r="J28" s="18"/>
      <c r="K28" s="1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0">
        <v>23.0</v>
      </c>
      <c r="B29" s="11" t="s">
        <v>14</v>
      </c>
      <c r="C29" s="11" t="s">
        <v>219</v>
      </c>
      <c r="D29" s="11" t="s">
        <v>274</v>
      </c>
      <c r="E29" s="11" t="s">
        <v>275</v>
      </c>
      <c r="F29" s="11" t="s">
        <v>219</v>
      </c>
      <c r="G29" s="13"/>
      <c r="H29" s="16" t="str">
        <f t="shared" si="1"/>
        <v>✓</v>
      </c>
      <c r="I29" s="17">
        <v>2025.0</v>
      </c>
      <c r="J29" s="18"/>
      <c r="K29" s="1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10">
        <v>24.0</v>
      </c>
      <c r="B30" s="11" t="s">
        <v>14</v>
      </c>
      <c r="C30" s="11" t="s">
        <v>219</v>
      </c>
      <c r="D30" s="11" t="s">
        <v>276</v>
      </c>
      <c r="E30" s="11" t="s">
        <v>277</v>
      </c>
      <c r="F30" s="11" t="s">
        <v>228</v>
      </c>
      <c r="G30" s="13"/>
      <c r="H30" s="16" t="str">
        <f t="shared" si="1"/>
        <v>✓</v>
      </c>
      <c r="I30" s="17">
        <v>2025.0</v>
      </c>
      <c r="J30" s="18"/>
      <c r="K30" s="1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0">
        <v>25.0</v>
      </c>
      <c r="B31" s="11" t="s">
        <v>14</v>
      </c>
      <c r="C31" s="11" t="s">
        <v>219</v>
      </c>
      <c r="D31" s="11" t="s">
        <v>278</v>
      </c>
      <c r="E31" s="11" t="s">
        <v>279</v>
      </c>
      <c r="F31" s="11" t="s">
        <v>239</v>
      </c>
      <c r="G31" s="13"/>
      <c r="H31" s="16" t="str">
        <f t="shared" si="1"/>
        <v>✓</v>
      </c>
      <c r="I31" s="17">
        <v>2025.0</v>
      </c>
      <c r="J31" s="18"/>
      <c r="K31" s="1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10">
        <v>26.0</v>
      </c>
      <c r="B32" s="11" t="s">
        <v>14</v>
      </c>
      <c r="C32" s="11" t="s">
        <v>219</v>
      </c>
      <c r="D32" s="11" t="s">
        <v>280</v>
      </c>
      <c r="E32" s="11" t="s">
        <v>281</v>
      </c>
      <c r="F32" s="11">
        <v>4.0</v>
      </c>
      <c r="G32" s="13"/>
      <c r="H32" s="16" t="str">
        <f t="shared" si="1"/>
        <v>✓</v>
      </c>
      <c r="I32" s="17">
        <v>2025.0</v>
      </c>
      <c r="J32" s="18"/>
      <c r="K32" s="19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0">
        <v>27.0</v>
      </c>
      <c r="B33" s="11" t="s">
        <v>14</v>
      </c>
      <c r="C33" s="11" t="s">
        <v>219</v>
      </c>
      <c r="D33" s="11" t="s">
        <v>282</v>
      </c>
      <c r="E33" s="11" t="s">
        <v>283</v>
      </c>
      <c r="F33" s="11" t="s">
        <v>239</v>
      </c>
      <c r="G33" s="13"/>
      <c r="H33" s="16" t="str">
        <f t="shared" si="1"/>
        <v>✓</v>
      </c>
      <c r="I33" s="17">
        <v>2025.0</v>
      </c>
      <c r="J33" s="18"/>
      <c r="K33" s="19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0">
        <v>28.0</v>
      </c>
      <c r="B34" s="11" t="s">
        <v>14</v>
      </c>
      <c r="C34" s="11" t="s">
        <v>219</v>
      </c>
      <c r="D34" s="11" t="s">
        <v>284</v>
      </c>
      <c r="E34" s="11" t="s">
        <v>285</v>
      </c>
      <c r="F34" s="11" t="s">
        <v>286</v>
      </c>
      <c r="G34" s="13"/>
      <c r="H34" s="16" t="str">
        <f t="shared" si="1"/>
        <v>✓</v>
      </c>
      <c r="I34" s="17">
        <v>2025.0</v>
      </c>
      <c r="J34" s="18"/>
      <c r="K34" s="19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0">
        <v>29.0</v>
      </c>
      <c r="B35" s="11" t="s">
        <v>14</v>
      </c>
      <c r="C35" s="11" t="s">
        <v>219</v>
      </c>
      <c r="D35" s="11" t="s">
        <v>287</v>
      </c>
      <c r="E35" s="11" t="s">
        <v>288</v>
      </c>
      <c r="F35" s="11" t="s">
        <v>239</v>
      </c>
      <c r="G35" s="13"/>
      <c r="H35" s="16" t="str">
        <f t="shared" si="1"/>
        <v>✓</v>
      </c>
      <c r="I35" s="17">
        <v>2025.0</v>
      </c>
      <c r="J35" s="18"/>
      <c r="K35" s="19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0">
        <v>30.0</v>
      </c>
      <c r="B36" s="11" t="s">
        <v>14</v>
      </c>
      <c r="C36" s="11" t="s">
        <v>219</v>
      </c>
      <c r="D36" s="11" t="s">
        <v>289</v>
      </c>
      <c r="E36" s="11">
        <v>1.50303080893001E15</v>
      </c>
      <c r="F36" s="11" t="s">
        <v>127</v>
      </c>
      <c r="G36" s="13"/>
      <c r="H36" s="16" t="str">
        <f t="shared" si="1"/>
        <v>✓</v>
      </c>
      <c r="I36" s="17">
        <v>2025.0</v>
      </c>
      <c r="J36" s="18"/>
      <c r="K36" s="19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0">
        <v>31.0</v>
      </c>
      <c r="B37" s="11" t="s">
        <v>14</v>
      </c>
      <c r="C37" s="11" t="s">
        <v>219</v>
      </c>
      <c r="D37" s="11" t="s">
        <v>290</v>
      </c>
      <c r="E37" s="11" t="s">
        <v>291</v>
      </c>
      <c r="F37" s="11" t="s">
        <v>36</v>
      </c>
      <c r="G37" s="13"/>
      <c r="H37" s="16" t="str">
        <f t="shared" si="1"/>
        <v>✓</v>
      </c>
      <c r="I37" s="17">
        <v>2025.0</v>
      </c>
      <c r="J37" s="18"/>
      <c r="K37" s="19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</sheetData>
  <mergeCells count="4">
    <mergeCell ref="A1:K1"/>
    <mergeCell ref="A2:K2"/>
    <mergeCell ref="A3:K3"/>
    <mergeCell ref="H6:I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25.5"/>
    <col customWidth="1" min="4" max="4" width="22.25"/>
    <col customWidth="1" min="5" max="5" width="26.63"/>
    <col customWidth="1" min="6" max="6" width="31.25"/>
    <col customWidth="1" min="8" max="8" width="6.25"/>
    <col customWidth="1" min="10" max="10" width="7.1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1" t="s">
        <v>292</v>
      </c>
      <c r="D7" s="11" t="s">
        <v>293</v>
      </c>
      <c r="E7" s="11" t="s">
        <v>294</v>
      </c>
      <c r="F7" s="11" t="s">
        <v>295</v>
      </c>
      <c r="G7" s="13"/>
      <c r="H7" s="16" t="str">
        <f>IF(I7&lt;&gt;"","✓","")</f>
        <v>✓</v>
      </c>
      <c r="I7" s="17">
        <v>2025.0</v>
      </c>
      <c r="J7" s="18"/>
      <c r="K7" s="19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</sheetData>
  <mergeCells count="4">
    <mergeCell ref="A1:K1"/>
    <mergeCell ref="A2:K2"/>
    <mergeCell ref="A3:K3"/>
    <mergeCell ref="H6:I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25.5"/>
    <col customWidth="1" min="4" max="4" width="22.25"/>
    <col customWidth="1" min="5" max="5" width="26.63"/>
    <col customWidth="1" min="6" max="6" width="31.25"/>
    <col customWidth="1" min="8" max="8" width="6.25"/>
    <col customWidth="1" min="10" max="10" width="7.13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1" t="s">
        <v>296</v>
      </c>
      <c r="D7" s="11" t="s">
        <v>297</v>
      </c>
      <c r="E7" s="11" t="s">
        <v>298</v>
      </c>
      <c r="F7" s="11" t="s">
        <v>256</v>
      </c>
      <c r="G7" s="13"/>
      <c r="H7" s="16" t="str">
        <f t="shared" ref="H7:H9" si="1">IF(I7&lt;&gt;"","✓","")</f>
        <v>✓</v>
      </c>
      <c r="I7" s="17">
        <v>2025.0</v>
      </c>
      <c r="J7" s="18"/>
      <c r="K7" s="19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1" t="s">
        <v>14</v>
      </c>
      <c r="C8" s="11" t="s">
        <v>296</v>
      </c>
      <c r="D8" s="11" t="s">
        <v>299</v>
      </c>
      <c r="E8" s="11" t="s">
        <v>300</v>
      </c>
      <c r="F8" s="11" t="s">
        <v>296</v>
      </c>
      <c r="G8" s="13"/>
      <c r="H8" s="16" t="str">
        <f t="shared" si="1"/>
        <v>✓</v>
      </c>
      <c r="I8" s="17">
        <v>2025.0</v>
      </c>
      <c r="J8" s="18"/>
      <c r="K8" s="1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1" t="s">
        <v>14</v>
      </c>
      <c r="C9" s="11" t="s">
        <v>296</v>
      </c>
      <c r="D9" s="11" t="s">
        <v>301</v>
      </c>
      <c r="E9" s="11" t="s">
        <v>302</v>
      </c>
      <c r="F9" s="11" t="s">
        <v>303</v>
      </c>
      <c r="G9" s="13"/>
      <c r="H9" s="16" t="str">
        <f t="shared" si="1"/>
        <v>✓</v>
      </c>
      <c r="I9" s="17">
        <v>2025.0</v>
      </c>
      <c r="J9" s="18"/>
      <c r="K9" s="1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</sheetData>
  <mergeCells count="4">
    <mergeCell ref="A1:K1"/>
    <mergeCell ref="A2:K2"/>
    <mergeCell ref="A3:K3"/>
    <mergeCell ref="H6:I6"/>
  </mergeCells>
  <drawing r:id="rId1"/>
</worksheet>
</file>