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NGAI KAYU ARO" sheetId="1" r:id="rId5"/>
    <sheet state="visible" name="MARGO RUKUN" sheetId="2" r:id="rId6"/>
    <sheet state="visible" name="SUNGAI KEPAYANG" sheetId="3" r:id="rId7"/>
    <sheet state="visible" name="SUNGSANG" sheetId="4" r:id="rId8"/>
  </sheets>
  <definedNames/>
  <calcPr/>
</workbook>
</file>

<file path=xl/sharedStrings.xml><?xml version="1.0" encoding="utf-8"?>
<sst xmlns="http://schemas.openxmlformats.org/spreadsheetml/2006/main" count="391" uniqueCount="178">
  <si>
    <t>REKAPITULASI USULAN DAN REALISASI PENERIMA BPBL PROVINSI JAMBI</t>
  </si>
  <si>
    <t>MELALUI KEGIATAN PLN (Sumber Dana APBN)</t>
  </si>
  <si>
    <t>TAHUN 2025-2026</t>
  </si>
  <si>
    <t>Kab/Kota</t>
  </si>
  <si>
    <t>: Kabupaten Tanjung Jabung Barat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</si>
  <si>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</si>
  <si>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</si>
  <si>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</si>
  <si>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</si>
  <si>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</si>
  <si>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</si>
  <si>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</si>
  <si>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</si>
  <si>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</si>
  <si>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SENYERANG</t>
  </si>
  <si>
    <t>SUNGAI KAYU ARO</t>
  </si>
  <si>
    <t>AHMAD BARKATI</t>
  </si>
  <si>
    <t>MARGO RUKUN</t>
  </si>
  <si>
    <t>ARBAIN</t>
  </si>
  <si>
    <t>1506031007400002</t>
  </si>
  <si>
    <t>RT. 09 SUAK PARE</t>
  </si>
  <si>
    <t>1506102306830001</t>
  </si>
  <si>
    <t>RT 003 DUSUN TANJUNG MAWAR</t>
  </si>
  <si>
    <t>SUNGSANG</t>
  </si>
  <si>
    <t>AHMADI</t>
  </si>
  <si>
    <t>DESI RAMADANI</t>
  </si>
  <si>
    <t>SUNGAI KEPAYANG</t>
  </si>
  <si>
    <t>1506134412000001</t>
  </si>
  <si>
    <t>1506031511910001</t>
  </si>
  <si>
    <t>RT. 04 MARGO RUKUN</t>
  </si>
  <si>
    <t>ADAM WAHANA</t>
  </si>
  <si>
    <t>ARPIAH</t>
  </si>
  <si>
    <t>RT. 09 KUALA DUA</t>
  </si>
  <si>
    <t>1506061708920004</t>
  </si>
  <si>
    <t>1506134109590001</t>
  </si>
  <si>
    <t>RT 02</t>
  </si>
  <si>
    <t>DIDIK DARMADI</t>
  </si>
  <si>
    <t>1507030304820005</t>
  </si>
  <si>
    <t>RT. 08 SUKA DAMAI</t>
  </si>
  <si>
    <t>ASROFUL FAIZIN</t>
  </si>
  <si>
    <t>JAKARIA</t>
  </si>
  <si>
    <t>1506130504840001</t>
  </si>
  <si>
    <t>1506041008810005</t>
  </si>
  <si>
    <t>RT 010 DUSUN USAHA KARYA</t>
  </si>
  <si>
    <t>BAHARAH</t>
  </si>
  <si>
    <t>JUNAIDI</t>
  </si>
  <si>
    <t>1506034806330001</t>
  </si>
  <si>
    <t>1506130505920001</t>
  </si>
  <si>
    <t>RT. 10 SUNGAI BERINGIN</t>
  </si>
  <si>
    <t>DARMAWI</t>
  </si>
  <si>
    <t>1506031702890001</t>
  </si>
  <si>
    <t>KARDIANTO</t>
  </si>
  <si>
    <t>1404121504860003</t>
  </si>
  <si>
    <t>HANAPI</t>
  </si>
  <si>
    <t>1506132902920001</t>
  </si>
  <si>
    <t>RT. 03 BAN TIGA</t>
  </si>
  <si>
    <t>AHSANUDIN/TPQ NURUL HIDAYAH</t>
  </si>
  <si>
    <t>DIDI IRYANTO</t>
  </si>
  <si>
    <t>KASDI</t>
  </si>
  <si>
    <t>1506032409870001</t>
  </si>
  <si>
    <t>1506032401850001</t>
  </si>
  <si>
    <t>1507021212780004</t>
  </si>
  <si>
    <t>RT 10</t>
  </si>
  <si>
    <t>ISNIAH</t>
  </si>
  <si>
    <t>M. RIKI IPINDI</t>
  </si>
  <si>
    <t>1506134201740001</t>
  </si>
  <si>
    <t>1506032107960001</t>
  </si>
  <si>
    <t>JAINUDIN</t>
  </si>
  <si>
    <t>1506030210700003</t>
  </si>
  <si>
    <t>RT. 12 BAN LIMA</t>
  </si>
  <si>
    <t>KUDSIAH</t>
  </si>
  <si>
    <t>MISLI</t>
  </si>
  <si>
    <t>1506134101450001</t>
  </si>
  <si>
    <t>1506130809740001</t>
  </si>
  <si>
    <t>RT 017 DUSUN TANJUNG KALIMANTAN</t>
  </si>
  <si>
    <t>1506131207610003</t>
  </si>
  <si>
    <t>RT 05</t>
  </si>
  <si>
    <t>MUHAMMAD IRFAN</t>
  </si>
  <si>
    <t>3505172106000002</t>
  </si>
  <si>
    <t>NURHAYATI</t>
  </si>
  <si>
    <t>JOKO IRMA PURWANTO</t>
  </si>
  <si>
    <t>1506034111700001</t>
  </si>
  <si>
    <t>RT 005 DUSUN TELUK PAGAR</t>
  </si>
  <si>
    <t>1506130711970001</t>
  </si>
  <si>
    <t>RT. 01 BAN PINANG</t>
  </si>
  <si>
    <t>HALIMAH</t>
  </si>
  <si>
    <t>PATMAH</t>
  </si>
  <si>
    <t>1506134409520001</t>
  </si>
  <si>
    <t>1506135204840002</t>
  </si>
  <si>
    <t>RT. 03 PARIT SEPAKAT</t>
  </si>
  <si>
    <t>PARSUN</t>
  </si>
  <si>
    <t>RT 01</t>
  </si>
  <si>
    <t>1506031106930001</t>
  </si>
  <si>
    <t>SABAR</t>
  </si>
  <si>
    <t>3520170107700018</t>
  </si>
  <si>
    <t>M. ALIP</t>
  </si>
  <si>
    <t>PURWADI</t>
  </si>
  <si>
    <t>1506033112930001</t>
  </si>
  <si>
    <t>1506040508730002</t>
  </si>
  <si>
    <t>RT. 10 BAN TIGA</t>
  </si>
  <si>
    <t>IMAM MUHLASIN</t>
  </si>
  <si>
    <t>1404180610840001</t>
  </si>
  <si>
    <t>SALAMAH</t>
  </si>
  <si>
    <t>1506134107640004</t>
  </si>
  <si>
    <t>ROMADI</t>
  </si>
  <si>
    <t>1506130706970003</t>
  </si>
  <si>
    <t>M. ALIYASA</t>
  </si>
  <si>
    <t>SANIAH</t>
  </si>
  <si>
    <t>1506041306950001</t>
  </si>
  <si>
    <t>1506026706760003</t>
  </si>
  <si>
    <t>SAHRONI</t>
  </si>
  <si>
    <t>1506130305880002</t>
  </si>
  <si>
    <t>IWAN</t>
  </si>
  <si>
    <t>1506130811780002</t>
  </si>
  <si>
    <t>SAPARUDIN</t>
  </si>
  <si>
    <t>RT 03</t>
  </si>
  <si>
    <t>1506131004980001</t>
  </si>
  <si>
    <t>RT. 07 SUKA DAMAI</t>
  </si>
  <si>
    <t>SAIPUL</t>
  </si>
  <si>
    <t>1506030105870005</t>
  </si>
  <si>
    <t>RT 002 DUSUN TANJUNG MAWAR</t>
  </si>
  <si>
    <t>MUINI</t>
  </si>
  <si>
    <t>SUKIRAH</t>
  </si>
  <si>
    <t>1506135910661001</t>
  </si>
  <si>
    <t>1506134704630002</t>
  </si>
  <si>
    <t>SIDIK</t>
  </si>
  <si>
    <t>1506030410840005</t>
  </si>
  <si>
    <t>RT 001 DUSUN TANJUNG MAWAR</t>
  </si>
  <si>
    <t>1506131804880001</t>
  </si>
  <si>
    <t>RT 09</t>
  </si>
  <si>
    <t>SUKIMIN</t>
  </si>
  <si>
    <t>1506130703790002</t>
  </si>
  <si>
    <t>SUNARTO</t>
  </si>
  <si>
    <t>MULYONO</t>
  </si>
  <si>
    <t>1506010107880013</t>
  </si>
  <si>
    <t>1506130707890002</t>
  </si>
  <si>
    <t>YANTO</t>
  </si>
  <si>
    <t>1507070610970001</t>
  </si>
  <si>
    <t>MUHAMMADUN</t>
  </si>
  <si>
    <t>1506130909920001</t>
  </si>
  <si>
    <t>SUSANTI</t>
  </si>
  <si>
    <t>1506034405840002</t>
  </si>
  <si>
    <t>NARDI</t>
  </si>
  <si>
    <t>RT. 07 LAPIS SUKADAMAI</t>
  </si>
  <si>
    <t>1506130707930001</t>
  </si>
  <si>
    <t>YUSNAINI</t>
  </si>
  <si>
    <t>1506034302700003</t>
  </si>
  <si>
    <t>UMAR</t>
  </si>
  <si>
    <t>1506130208450001</t>
  </si>
  <si>
    <t>SUJARWO</t>
  </si>
  <si>
    <t>1506132407890001</t>
  </si>
  <si>
    <t>WATI</t>
  </si>
  <si>
    <t>1506034107920057</t>
  </si>
  <si>
    <t>1404017107660003</t>
  </si>
  <si>
    <t>ZULKAMAIN</t>
  </si>
  <si>
    <t>2104050807850002</t>
  </si>
  <si>
    <t>SUNGAIKAYU ARO</t>
  </si>
  <si>
    <t>WAHIDIN SAFUAN</t>
  </si>
  <si>
    <t>AHMAD PADI</t>
  </si>
  <si>
    <t>1506130904860001</t>
  </si>
  <si>
    <t>1506030506870001</t>
  </si>
  <si>
    <t>JL. KASWARI RT 1O DUSUN MEKAR SARI</t>
  </si>
  <si>
    <t>SANTOSO</t>
  </si>
  <si>
    <t>1506131407870001</t>
  </si>
  <si>
    <t>SUDARYANTO</t>
  </si>
  <si>
    <t>1506131407780001</t>
  </si>
  <si>
    <t>RT. 06 BAN TALANG</t>
  </si>
  <si>
    <t>SUGENG</t>
  </si>
  <si>
    <t>1506131711020001</t>
  </si>
  <si>
    <t>RT. 11 BAN TIGA</t>
  </si>
  <si>
    <t>1506134506920002</t>
  </si>
  <si>
    <t>RT. 05 BAN LIMA</t>
  </si>
  <si>
    <t>SUTARTO</t>
  </si>
  <si>
    <t>1506033012800004</t>
  </si>
  <si>
    <t>SUYITNO</t>
  </si>
  <si>
    <t>1506133008870002</t>
  </si>
  <si>
    <t>TUMI RAH</t>
  </si>
  <si>
    <t>1506136901680001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</si>
</sst>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4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vertical="bottom"/>
    </xf>
    <xf borderId="3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horizontal="right" readingOrder="0" shrinkToFit="0" vertical="bottom" wrapText="0"/>
    </xf>
    <xf borderId="3" fillId="0" fontId="2" numFmtId="0" xfId="0" applyAlignment="1" applyBorder="1" applyFont="1">
      <alignment vertical="bottom"/>
    </xf>
    <xf borderId="1" fillId="0" fontId="4" numFmtId="0" xfId="0" applyAlignment="1" applyBorder="1" applyFont="1">
      <alignment horizontal="right" readingOrder="0"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5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19.88"/>
    <col customWidth="1" min="4" max="4" width="21.38"/>
    <col customWidth="1" min="5" max="5" width="23.0"/>
    <col customWidth="1" min="6" max="6" width="31.75"/>
    <col customWidth="1" min="8" max="8" width="3.88"/>
    <col customWidth="1" min="9" max="9" width="6.63"/>
    <col customWidth="1" min="10" max="10" width="3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15</v>
      </c>
      <c r="D7" s="12" t="s">
        <v>16</v>
      </c>
      <c r="E7" s="11" t="s">
        <v>21</v>
      </c>
      <c r="F7" s="11" t="s">
        <v>22</v>
      </c>
      <c r="G7" s="11">
        <v>2025.0</v>
      </c>
      <c r="H7" s="13" t="str">
        <f t="shared" ref="H7:H26" si="1">IF(I7&lt;&gt;"","✓","")</f>
        <v>✓</v>
      </c>
      <c r="I7" s="16">
        <v>2025.0</v>
      </c>
      <c r="J7" s="18">
        <v>1.0</v>
      </c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1" t="s">
        <v>14</v>
      </c>
      <c r="C8" s="11" t="s">
        <v>15</v>
      </c>
      <c r="D8" s="12" t="s">
        <v>31</v>
      </c>
      <c r="E8" s="11" t="s">
        <v>34</v>
      </c>
      <c r="F8" s="11" t="s">
        <v>22</v>
      </c>
      <c r="G8" s="11">
        <v>2025.0</v>
      </c>
      <c r="H8" s="13" t="str">
        <f t="shared" si="1"/>
        <v>✓</v>
      </c>
      <c r="I8" s="16">
        <v>2025.0</v>
      </c>
      <c r="J8" s="18">
        <v>1.0</v>
      </c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1" t="s">
        <v>15</v>
      </c>
      <c r="D9" s="12" t="s">
        <v>39</v>
      </c>
      <c r="E9" s="11" t="s">
        <v>41</v>
      </c>
      <c r="F9" s="11" t="s">
        <v>43</v>
      </c>
      <c r="G9" s="11">
        <v>2025.0</v>
      </c>
      <c r="H9" s="13" t="str">
        <f t="shared" si="1"/>
        <v>✓</v>
      </c>
      <c r="I9" s="16">
        <v>2025.0</v>
      </c>
      <c r="J9" s="18">
        <v>1.0</v>
      </c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1" t="s">
        <v>14</v>
      </c>
      <c r="C10" s="11" t="s">
        <v>15</v>
      </c>
      <c r="D10" s="12" t="s">
        <v>44</v>
      </c>
      <c r="E10" s="11" t="s">
        <v>46</v>
      </c>
      <c r="F10" s="11" t="s">
        <v>22</v>
      </c>
      <c r="G10" s="11">
        <v>2025.0</v>
      </c>
      <c r="H10" s="13" t="str">
        <f t="shared" si="1"/>
        <v>✓</v>
      </c>
      <c r="I10" s="16">
        <v>2025.0</v>
      </c>
      <c r="J10" s="18">
        <v>1.0</v>
      </c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1" t="s">
        <v>14</v>
      </c>
      <c r="C11" s="11" t="s">
        <v>15</v>
      </c>
      <c r="D11" s="12" t="s">
        <v>49</v>
      </c>
      <c r="E11" s="11" t="s">
        <v>50</v>
      </c>
      <c r="F11" s="11" t="s">
        <v>22</v>
      </c>
      <c r="G11" s="11">
        <v>2025.0</v>
      </c>
      <c r="H11" s="13" t="str">
        <f t="shared" si="1"/>
        <v/>
      </c>
      <c r="I11" s="14"/>
      <c r="J11" s="15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1" t="s">
        <v>14</v>
      </c>
      <c r="C12" s="11" t="s">
        <v>15</v>
      </c>
      <c r="D12" s="12" t="s">
        <v>57</v>
      </c>
      <c r="E12" s="11" t="s">
        <v>60</v>
      </c>
      <c r="F12" s="11" t="s">
        <v>22</v>
      </c>
      <c r="G12" s="11">
        <v>2025.0</v>
      </c>
      <c r="H12" s="13" t="str">
        <f t="shared" si="1"/>
        <v>✓</v>
      </c>
      <c r="I12" s="16">
        <v>2025.0</v>
      </c>
      <c r="J12" s="18">
        <v>1.0</v>
      </c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1" t="s">
        <v>14</v>
      </c>
      <c r="C13" s="11" t="s">
        <v>15</v>
      </c>
      <c r="D13" s="12" t="s">
        <v>63</v>
      </c>
      <c r="E13" s="11" t="s">
        <v>65</v>
      </c>
      <c r="F13" s="11" t="s">
        <v>43</v>
      </c>
      <c r="G13" s="11">
        <v>2025.0</v>
      </c>
      <c r="H13" s="13" t="str">
        <f t="shared" si="1"/>
        <v>✓</v>
      </c>
      <c r="I13" s="16">
        <v>2025.0</v>
      </c>
      <c r="J13" s="18">
        <v>1.0</v>
      </c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1" t="s">
        <v>14</v>
      </c>
      <c r="C14" s="11" t="s">
        <v>15</v>
      </c>
      <c r="D14" s="12" t="s">
        <v>70</v>
      </c>
      <c r="E14" s="11" t="s">
        <v>72</v>
      </c>
      <c r="F14" s="11" t="s">
        <v>74</v>
      </c>
      <c r="G14" s="11">
        <v>2025.0</v>
      </c>
      <c r="H14" s="13" t="str">
        <f t="shared" si="1"/>
        <v>✓</v>
      </c>
      <c r="I14" s="16">
        <v>2025.0</v>
      </c>
      <c r="J14" s="18">
        <v>1.0</v>
      </c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1" t="s">
        <v>14</v>
      </c>
      <c r="C15" s="11" t="s">
        <v>15</v>
      </c>
      <c r="D15" s="12" t="s">
        <v>79</v>
      </c>
      <c r="E15" s="11" t="s">
        <v>81</v>
      </c>
      <c r="F15" s="11" t="s">
        <v>82</v>
      </c>
      <c r="G15" s="11">
        <v>2025.0</v>
      </c>
      <c r="H15" s="13" t="str">
        <f t="shared" si="1"/>
        <v>✓</v>
      </c>
      <c r="I15" s="16">
        <v>2025.0</v>
      </c>
      <c r="J15" s="18">
        <v>1.0</v>
      </c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1" t="s">
        <v>14</v>
      </c>
      <c r="C16" s="11" t="s">
        <v>15</v>
      </c>
      <c r="D16" s="12" t="s">
        <v>90</v>
      </c>
      <c r="E16" s="11" t="s">
        <v>92</v>
      </c>
      <c r="F16" s="11" t="s">
        <v>82</v>
      </c>
      <c r="G16" s="11">
        <v>2025.0</v>
      </c>
      <c r="H16" s="13" t="str">
        <f t="shared" si="1"/>
        <v/>
      </c>
      <c r="I16" s="14"/>
      <c r="J16" s="15"/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1" t="s">
        <v>14</v>
      </c>
      <c r="C17" s="11" t="s">
        <v>15</v>
      </c>
      <c r="D17" s="12" t="s">
        <v>96</v>
      </c>
      <c r="E17" s="11" t="s">
        <v>98</v>
      </c>
      <c r="F17" s="11" t="s">
        <v>82</v>
      </c>
      <c r="G17" s="11">
        <v>2025.0</v>
      </c>
      <c r="H17" s="13" t="str">
        <f t="shared" si="1"/>
        <v>✓</v>
      </c>
      <c r="I17" s="16">
        <v>2025.0</v>
      </c>
      <c r="J17" s="18">
        <v>1.0</v>
      </c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1" t="s">
        <v>14</v>
      </c>
      <c r="C18" s="11" t="s">
        <v>15</v>
      </c>
      <c r="D18" s="12" t="s">
        <v>104</v>
      </c>
      <c r="E18" s="11" t="s">
        <v>105</v>
      </c>
      <c r="F18" s="11" t="s">
        <v>74</v>
      </c>
      <c r="G18" s="11">
        <v>2025.0</v>
      </c>
      <c r="H18" s="13" t="str">
        <f t="shared" si="1"/>
        <v/>
      </c>
      <c r="I18" s="14"/>
      <c r="J18" s="15"/>
      <c r="K18" s="1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1" t="s">
        <v>14</v>
      </c>
      <c r="C19" s="11" t="s">
        <v>15</v>
      </c>
      <c r="D19" s="12" t="s">
        <v>110</v>
      </c>
      <c r="E19" s="11" t="s">
        <v>111</v>
      </c>
      <c r="F19" s="11" t="s">
        <v>22</v>
      </c>
      <c r="G19" s="11">
        <v>2025.0</v>
      </c>
      <c r="H19" s="13" t="str">
        <f t="shared" si="1"/>
        <v>✓</v>
      </c>
      <c r="I19" s="16">
        <v>2025.0</v>
      </c>
      <c r="J19" s="18">
        <v>1.0</v>
      </c>
      <c r="K19" s="1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1" t="s">
        <v>14</v>
      </c>
      <c r="C20" s="11" t="s">
        <v>15</v>
      </c>
      <c r="D20" s="12" t="s">
        <v>118</v>
      </c>
      <c r="E20" s="11" t="s">
        <v>119</v>
      </c>
      <c r="F20" s="11" t="s">
        <v>120</v>
      </c>
      <c r="G20" s="11">
        <v>2025.0</v>
      </c>
      <c r="H20" s="13" t="str">
        <f t="shared" si="1"/>
        <v/>
      </c>
      <c r="I20" s="14"/>
      <c r="J20" s="15"/>
      <c r="K20" s="1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1" t="s">
        <v>14</v>
      </c>
      <c r="C21" s="11" t="s">
        <v>15</v>
      </c>
      <c r="D21" s="12" t="s">
        <v>125</v>
      </c>
      <c r="E21" s="11" t="s">
        <v>126</v>
      </c>
      <c r="F21" s="11" t="s">
        <v>127</v>
      </c>
      <c r="G21" s="11">
        <v>2025.0</v>
      </c>
      <c r="H21" s="13" t="str">
        <f t="shared" si="1"/>
        <v/>
      </c>
      <c r="I21" s="14"/>
      <c r="J21" s="15"/>
      <c r="K21" s="1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">
        <v>16.0</v>
      </c>
      <c r="B22" s="11" t="s">
        <v>14</v>
      </c>
      <c r="C22" s="11" t="s">
        <v>15</v>
      </c>
      <c r="D22" s="12" t="s">
        <v>130</v>
      </c>
      <c r="E22" s="11" t="s">
        <v>131</v>
      </c>
      <c r="F22" s="11" t="s">
        <v>120</v>
      </c>
      <c r="G22" s="11">
        <v>2025.0</v>
      </c>
      <c r="H22" s="13" t="str">
        <f t="shared" si="1"/>
        <v>✓</v>
      </c>
      <c r="I22" s="16">
        <v>2025.0</v>
      </c>
      <c r="J22" s="18">
        <v>1.0</v>
      </c>
      <c r="K22" s="1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">
        <v>17.0</v>
      </c>
      <c r="B23" s="11" t="s">
        <v>14</v>
      </c>
      <c r="C23" s="11" t="s">
        <v>15</v>
      </c>
      <c r="D23" s="12" t="s">
        <v>136</v>
      </c>
      <c r="E23" s="11" t="s">
        <v>137</v>
      </c>
      <c r="F23" s="11" t="s">
        <v>120</v>
      </c>
      <c r="G23" s="11">
        <v>2025.0</v>
      </c>
      <c r="H23" s="13" t="str">
        <f t="shared" si="1"/>
        <v>✓</v>
      </c>
      <c r="I23" s="16">
        <v>2025.0</v>
      </c>
      <c r="J23" s="18">
        <v>1.0</v>
      </c>
      <c r="K23" s="1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">
        <v>18.0</v>
      </c>
      <c r="B24" s="11" t="s">
        <v>14</v>
      </c>
      <c r="C24" s="11" t="s">
        <v>15</v>
      </c>
      <c r="D24" s="12" t="s">
        <v>145</v>
      </c>
      <c r="E24" s="11" t="s">
        <v>146</v>
      </c>
      <c r="F24" s="11" t="s">
        <v>22</v>
      </c>
      <c r="G24" s="11">
        <v>2025.0</v>
      </c>
      <c r="H24" s="13" t="str">
        <f t="shared" si="1"/>
        <v>✓</v>
      </c>
      <c r="I24" s="16">
        <v>2025.0</v>
      </c>
      <c r="J24" s="18">
        <v>1.0</v>
      </c>
      <c r="K24" s="1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">
        <v>19.0</v>
      </c>
      <c r="B25" s="11" t="s">
        <v>14</v>
      </c>
      <c r="C25" s="11" t="s">
        <v>15</v>
      </c>
      <c r="D25" s="12" t="s">
        <v>145</v>
      </c>
      <c r="E25" s="11" t="s">
        <v>153</v>
      </c>
      <c r="F25" s="11" t="s">
        <v>22</v>
      </c>
      <c r="G25" s="11">
        <v>2025.0</v>
      </c>
      <c r="H25" s="13" t="str">
        <f t="shared" si="1"/>
        <v>✓</v>
      </c>
      <c r="I25" s="16">
        <v>2025.0</v>
      </c>
      <c r="J25" s="18">
        <v>1.0</v>
      </c>
      <c r="K25" s="1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0">
        <v>20.0</v>
      </c>
      <c r="B26" s="12" t="s">
        <v>14</v>
      </c>
      <c r="C26" s="12" t="s">
        <v>156</v>
      </c>
      <c r="D26" s="12" t="s">
        <v>158</v>
      </c>
      <c r="E26" s="12" t="s">
        <v>160</v>
      </c>
      <c r="F26" s="12" t="s">
        <v>161</v>
      </c>
      <c r="G26" s="19"/>
      <c r="H26" s="13" t="str">
        <f t="shared" si="1"/>
        <v>✓</v>
      </c>
      <c r="I26" s="16">
        <v>2025.0</v>
      </c>
      <c r="J26" s="15"/>
      <c r="K26" s="1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53">
      <c r="H953" s="20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19.88"/>
    <col customWidth="1" min="4" max="4" width="21.38"/>
    <col customWidth="1" min="5" max="5" width="23.0"/>
    <col customWidth="1" min="6" max="6" width="31.75"/>
    <col customWidth="1" min="8" max="8" width="3.88"/>
    <col customWidth="1" min="9" max="9" width="6.63"/>
    <col customWidth="1" min="10" max="10" width="3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17</v>
      </c>
      <c r="D7" s="12" t="s">
        <v>18</v>
      </c>
      <c r="E7" s="12" t="s">
        <v>19</v>
      </c>
      <c r="F7" s="12" t="s">
        <v>20</v>
      </c>
      <c r="G7" s="11">
        <v>2026.0</v>
      </c>
      <c r="H7" s="13" t="str">
        <f t="shared" ref="H7:H27" si="1">IF(I7&lt;&gt;"","✓","")</f>
        <v/>
      </c>
      <c r="I7" s="14"/>
      <c r="J7" s="15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17</v>
      </c>
      <c r="D8" s="12" t="s">
        <v>25</v>
      </c>
      <c r="E8" s="12" t="s">
        <v>27</v>
      </c>
      <c r="F8" s="12" t="s">
        <v>29</v>
      </c>
      <c r="G8" s="11">
        <v>2026.0</v>
      </c>
      <c r="H8" s="13" t="str">
        <f t="shared" si="1"/>
        <v/>
      </c>
      <c r="I8" s="14"/>
      <c r="J8" s="15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17</v>
      </c>
      <c r="D9" s="12" t="s">
        <v>36</v>
      </c>
      <c r="E9" s="12" t="s">
        <v>37</v>
      </c>
      <c r="F9" s="12" t="s">
        <v>38</v>
      </c>
      <c r="G9" s="11">
        <v>2026.0</v>
      </c>
      <c r="H9" s="13" t="str">
        <f t="shared" si="1"/>
        <v/>
      </c>
      <c r="I9" s="14"/>
      <c r="J9" s="15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17</v>
      </c>
      <c r="D10" s="12" t="s">
        <v>40</v>
      </c>
      <c r="E10" s="12" t="s">
        <v>42</v>
      </c>
      <c r="F10" s="12" t="s">
        <v>38</v>
      </c>
      <c r="G10" s="11">
        <v>2026.0</v>
      </c>
      <c r="H10" s="13" t="str">
        <f t="shared" si="1"/>
        <v/>
      </c>
      <c r="I10" s="14"/>
      <c r="J10" s="15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17</v>
      </c>
      <c r="D11" s="12" t="s">
        <v>45</v>
      </c>
      <c r="E11" s="12" t="s">
        <v>47</v>
      </c>
      <c r="F11" s="12" t="s">
        <v>48</v>
      </c>
      <c r="G11" s="11">
        <v>2026.0</v>
      </c>
      <c r="H11" s="13" t="str">
        <f t="shared" si="1"/>
        <v/>
      </c>
      <c r="I11" s="14"/>
      <c r="J11" s="15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17</v>
      </c>
      <c r="D12" s="12" t="s">
        <v>51</v>
      </c>
      <c r="E12" s="12" t="s">
        <v>52</v>
      </c>
      <c r="F12" s="12" t="s">
        <v>29</v>
      </c>
      <c r="G12" s="11">
        <v>2026.0</v>
      </c>
      <c r="H12" s="13" t="str">
        <f t="shared" si="1"/>
        <v/>
      </c>
      <c r="I12" s="14"/>
      <c r="J12" s="15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17</v>
      </c>
      <c r="D13" s="12" t="s">
        <v>58</v>
      </c>
      <c r="E13" s="12" t="s">
        <v>61</v>
      </c>
      <c r="F13" s="12" t="s">
        <v>29</v>
      </c>
      <c r="G13" s="11">
        <v>2026.0</v>
      </c>
      <c r="H13" s="13" t="str">
        <f t="shared" si="1"/>
        <v/>
      </c>
      <c r="I13" s="14"/>
      <c r="J13" s="15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2" t="s">
        <v>14</v>
      </c>
      <c r="C14" s="12" t="s">
        <v>17</v>
      </c>
      <c r="D14" s="12" t="s">
        <v>64</v>
      </c>
      <c r="E14" s="12" t="s">
        <v>66</v>
      </c>
      <c r="F14" s="12" t="s">
        <v>38</v>
      </c>
      <c r="G14" s="11">
        <v>2026.0</v>
      </c>
      <c r="H14" s="13" t="str">
        <f t="shared" si="1"/>
        <v/>
      </c>
      <c r="I14" s="14"/>
      <c r="J14" s="15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2" t="s">
        <v>14</v>
      </c>
      <c r="C15" s="12" t="s">
        <v>17</v>
      </c>
      <c r="D15" s="12" t="s">
        <v>71</v>
      </c>
      <c r="E15" s="12" t="s">
        <v>73</v>
      </c>
      <c r="F15" s="12" t="s">
        <v>29</v>
      </c>
      <c r="G15" s="11">
        <v>2026.0</v>
      </c>
      <c r="H15" s="13" t="str">
        <f t="shared" si="1"/>
        <v/>
      </c>
      <c r="I15" s="14"/>
      <c r="J15" s="15"/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2" t="s">
        <v>14</v>
      </c>
      <c r="C16" s="12" t="s">
        <v>17</v>
      </c>
      <c r="D16" s="12" t="s">
        <v>77</v>
      </c>
      <c r="E16" s="12" t="s">
        <v>78</v>
      </c>
      <c r="F16" s="12" t="s">
        <v>48</v>
      </c>
      <c r="G16" s="11">
        <v>2026.0</v>
      </c>
      <c r="H16" s="13" t="str">
        <f t="shared" si="1"/>
        <v/>
      </c>
      <c r="I16" s="14"/>
      <c r="J16" s="15"/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2" t="s">
        <v>14</v>
      </c>
      <c r="C17" s="12" t="s">
        <v>17</v>
      </c>
      <c r="D17" s="12" t="s">
        <v>86</v>
      </c>
      <c r="E17" s="12" t="s">
        <v>88</v>
      </c>
      <c r="F17" s="12" t="s">
        <v>89</v>
      </c>
      <c r="G17" s="11">
        <v>2026.0</v>
      </c>
      <c r="H17" s="13" t="str">
        <f t="shared" si="1"/>
        <v/>
      </c>
      <c r="I17" s="14"/>
      <c r="J17" s="15"/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2" t="s">
        <v>14</v>
      </c>
      <c r="C18" s="12" t="s">
        <v>17</v>
      </c>
      <c r="D18" s="12" t="s">
        <v>93</v>
      </c>
      <c r="E18" s="12" t="s">
        <v>94</v>
      </c>
      <c r="F18" s="12" t="s">
        <v>29</v>
      </c>
      <c r="G18" s="11">
        <v>2026.0</v>
      </c>
      <c r="H18" s="13" t="str">
        <f t="shared" si="1"/>
        <v/>
      </c>
      <c r="I18" s="14"/>
      <c r="J18" s="15"/>
      <c r="K18" s="1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2" t="s">
        <v>14</v>
      </c>
      <c r="C19" s="12" t="s">
        <v>17</v>
      </c>
      <c r="D19" s="12" t="s">
        <v>102</v>
      </c>
      <c r="E19" s="12" t="s">
        <v>103</v>
      </c>
      <c r="F19" s="12" t="s">
        <v>89</v>
      </c>
      <c r="G19" s="11">
        <v>2026.0</v>
      </c>
      <c r="H19" s="13" t="str">
        <f t="shared" si="1"/>
        <v/>
      </c>
      <c r="I19" s="14"/>
      <c r="J19" s="15"/>
      <c r="K19" s="1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2" t="s">
        <v>14</v>
      </c>
      <c r="C20" s="12" t="s">
        <v>17</v>
      </c>
      <c r="D20" s="12" t="s">
        <v>107</v>
      </c>
      <c r="E20" s="12" t="s">
        <v>109</v>
      </c>
      <c r="F20" s="12" t="s">
        <v>89</v>
      </c>
      <c r="G20" s="11">
        <v>2026.0</v>
      </c>
      <c r="H20" s="13" t="str">
        <f t="shared" si="1"/>
        <v/>
      </c>
      <c r="I20" s="14"/>
      <c r="J20" s="15"/>
      <c r="K20" s="1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2" t="s">
        <v>14</v>
      </c>
      <c r="C21" s="12" t="s">
        <v>17</v>
      </c>
      <c r="D21" s="12" t="s">
        <v>114</v>
      </c>
      <c r="E21" s="12" t="s">
        <v>116</v>
      </c>
      <c r="F21" s="12" t="s">
        <v>117</v>
      </c>
      <c r="G21" s="11">
        <v>2026.0</v>
      </c>
      <c r="H21" s="13" t="str">
        <f t="shared" si="1"/>
        <v/>
      </c>
      <c r="I21" s="14"/>
      <c r="J21" s="15"/>
      <c r="K21" s="1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">
        <v>16.0</v>
      </c>
      <c r="B22" s="12" t="s">
        <v>14</v>
      </c>
      <c r="C22" s="12" t="s">
        <v>17</v>
      </c>
      <c r="D22" s="12" t="s">
        <v>122</v>
      </c>
      <c r="E22" s="12" t="s">
        <v>124</v>
      </c>
      <c r="F22" s="12" t="s">
        <v>20</v>
      </c>
      <c r="G22" s="11">
        <v>2026.0</v>
      </c>
      <c r="H22" s="13" t="str">
        <f t="shared" si="1"/>
        <v/>
      </c>
      <c r="I22" s="14"/>
      <c r="J22" s="15"/>
      <c r="K22" s="1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">
        <v>17.0</v>
      </c>
      <c r="B23" s="12" t="s">
        <v>14</v>
      </c>
      <c r="C23" s="12" t="s">
        <v>17</v>
      </c>
      <c r="D23" s="12" t="s">
        <v>132</v>
      </c>
      <c r="E23" s="12" t="s">
        <v>135</v>
      </c>
      <c r="F23" s="12" t="s">
        <v>29</v>
      </c>
      <c r="G23" s="11">
        <v>2026.0</v>
      </c>
      <c r="H23" s="13" t="str">
        <f t="shared" si="1"/>
        <v/>
      </c>
      <c r="I23" s="14"/>
      <c r="J23" s="15"/>
      <c r="K23" s="1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">
        <v>18.0</v>
      </c>
      <c r="B24" s="12" t="s">
        <v>14</v>
      </c>
      <c r="C24" s="12" t="s">
        <v>17</v>
      </c>
      <c r="D24" s="12" t="s">
        <v>140</v>
      </c>
      <c r="E24" s="12" t="s">
        <v>141</v>
      </c>
      <c r="F24" s="12" t="s">
        <v>143</v>
      </c>
      <c r="G24" s="11">
        <v>2026.0</v>
      </c>
      <c r="H24" s="13" t="str">
        <f t="shared" si="1"/>
        <v/>
      </c>
      <c r="I24" s="14"/>
      <c r="J24" s="15"/>
      <c r="K24" s="1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">
        <v>19.0</v>
      </c>
      <c r="B25" s="12" t="s">
        <v>14</v>
      </c>
      <c r="C25" s="12" t="s">
        <v>17</v>
      </c>
      <c r="D25" s="12" t="s">
        <v>147</v>
      </c>
      <c r="E25" s="12" t="s">
        <v>148</v>
      </c>
      <c r="F25" s="12" t="s">
        <v>89</v>
      </c>
      <c r="G25" s="11">
        <v>2026.0</v>
      </c>
      <c r="H25" s="13" t="str">
        <f t="shared" si="1"/>
        <v/>
      </c>
      <c r="I25" s="14"/>
      <c r="J25" s="15"/>
      <c r="K25" s="1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0">
        <v>20.0</v>
      </c>
      <c r="B26" s="12" t="s">
        <v>14</v>
      </c>
      <c r="C26" s="12" t="s">
        <v>17</v>
      </c>
      <c r="D26" s="12" t="s">
        <v>151</v>
      </c>
      <c r="E26" s="12" t="s">
        <v>152</v>
      </c>
      <c r="F26" s="12" t="s">
        <v>89</v>
      </c>
      <c r="G26" s="11">
        <v>2026.0</v>
      </c>
      <c r="H26" s="13" t="str">
        <f t="shared" si="1"/>
        <v/>
      </c>
      <c r="I26" s="14"/>
      <c r="J26" s="15"/>
      <c r="K26" s="1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0">
        <v>21.0</v>
      </c>
      <c r="B27" s="12" t="s">
        <v>14</v>
      </c>
      <c r="C27" s="12" t="s">
        <v>17</v>
      </c>
      <c r="D27" s="12" t="s">
        <v>154</v>
      </c>
      <c r="E27" s="12" t="s">
        <v>155</v>
      </c>
      <c r="F27" s="12" t="s">
        <v>89</v>
      </c>
      <c r="G27" s="11">
        <v>2026.0</v>
      </c>
      <c r="H27" s="13" t="str">
        <f t="shared" si="1"/>
        <v/>
      </c>
      <c r="I27" s="14"/>
      <c r="J27" s="15"/>
      <c r="K27" s="1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54">
      <c r="H954" s="20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19.88"/>
    <col customWidth="1" min="4" max="4" width="21.38"/>
    <col customWidth="1" min="5" max="5" width="23.0"/>
    <col customWidth="1" min="6" max="6" width="31.75"/>
    <col customWidth="1" min="8" max="8" width="3.88"/>
    <col customWidth="1" min="9" max="9" width="6.63"/>
    <col customWidth="1" min="10" max="10" width="3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26</v>
      </c>
      <c r="D7" s="12" t="s">
        <v>30</v>
      </c>
      <c r="E7" s="12" t="s">
        <v>33</v>
      </c>
      <c r="F7" s="12" t="s">
        <v>35</v>
      </c>
      <c r="G7" s="11">
        <v>2026.0</v>
      </c>
      <c r="H7" s="13" t="str">
        <f t="shared" ref="H7:H16" si="1">IF(I7&lt;&gt;"","✓","")</f>
        <v/>
      </c>
      <c r="I7" s="14"/>
      <c r="J7" s="15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26</v>
      </c>
      <c r="D8" s="12" t="s">
        <v>56</v>
      </c>
      <c r="E8" s="12" t="s">
        <v>59</v>
      </c>
      <c r="F8" s="12" t="s">
        <v>62</v>
      </c>
      <c r="G8" s="11">
        <v>2026.0</v>
      </c>
      <c r="H8" s="13" t="str">
        <f t="shared" si="1"/>
        <v/>
      </c>
      <c r="I8" s="14"/>
      <c r="J8" s="15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26</v>
      </c>
      <c r="D9" s="12" t="s">
        <v>49</v>
      </c>
      <c r="E9" s="12" t="s">
        <v>75</v>
      </c>
      <c r="F9" s="12" t="s">
        <v>76</v>
      </c>
      <c r="G9" s="11">
        <v>2026.0</v>
      </c>
      <c r="H9" s="13" t="str">
        <f t="shared" si="1"/>
        <v/>
      </c>
      <c r="I9" s="14"/>
      <c r="J9" s="15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26</v>
      </c>
      <c r="D10" s="12" t="s">
        <v>85</v>
      </c>
      <c r="E10" s="12" t="s">
        <v>87</v>
      </c>
      <c r="F10" s="12" t="s">
        <v>91</v>
      </c>
      <c r="G10" s="11">
        <v>2026.0</v>
      </c>
      <c r="H10" s="13" t="str">
        <f t="shared" si="1"/>
        <v/>
      </c>
      <c r="I10" s="14"/>
      <c r="J10" s="15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26</v>
      </c>
      <c r="D11" s="12" t="s">
        <v>100</v>
      </c>
      <c r="E11" s="12" t="s">
        <v>101</v>
      </c>
      <c r="F11" s="12" t="s">
        <v>76</v>
      </c>
      <c r="G11" s="11">
        <v>2026.0</v>
      </c>
      <c r="H11" s="13" t="str">
        <f t="shared" si="1"/>
        <v/>
      </c>
      <c r="I11" s="14"/>
      <c r="J11" s="15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26</v>
      </c>
      <c r="D12" s="12" t="s">
        <v>112</v>
      </c>
      <c r="E12" s="12" t="s">
        <v>113</v>
      </c>
      <c r="F12" s="12" t="s">
        <v>115</v>
      </c>
      <c r="G12" s="11">
        <v>2026.0</v>
      </c>
      <c r="H12" s="13" t="str">
        <f t="shared" si="1"/>
        <v/>
      </c>
      <c r="I12" s="14"/>
      <c r="J12" s="15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26</v>
      </c>
      <c r="D13" s="12" t="s">
        <v>45</v>
      </c>
      <c r="E13" s="12" t="s">
        <v>128</v>
      </c>
      <c r="F13" s="12" t="s">
        <v>129</v>
      </c>
      <c r="G13" s="11">
        <v>2026.0</v>
      </c>
      <c r="H13" s="13" t="str">
        <f t="shared" si="1"/>
        <v/>
      </c>
      <c r="I13" s="14"/>
      <c r="J13" s="15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2" t="s">
        <v>14</v>
      </c>
      <c r="C14" s="12" t="s">
        <v>26</v>
      </c>
      <c r="D14" s="12" t="s">
        <v>138</v>
      </c>
      <c r="E14" s="12" t="s">
        <v>139</v>
      </c>
      <c r="F14" s="12" t="s">
        <v>91</v>
      </c>
      <c r="G14" s="11">
        <v>2026.0</v>
      </c>
      <c r="H14" s="13" t="str">
        <f t="shared" si="1"/>
        <v/>
      </c>
      <c r="I14" s="14"/>
      <c r="J14" s="15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2" t="s">
        <v>14</v>
      </c>
      <c r="C15" s="12" t="s">
        <v>26</v>
      </c>
      <c r="D15" s="12" t="s">
        <v>149</v>
      </c>
      <c r="E15" s="12" t="s">
        <v>150</v>
      </c>
      <c r="F15" s="12" t="s">
        <v>115</v>
      </c>
      <c r="G15" s="11">
        <v>2026.0</v>
      </c>
      <c r="H15" s="13" t="str">
        <f t="shared" si="1"/>
        <v/>
      </c>
      <c r="I15" s="14"/>
      <c r="J15" s="15"/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2" t="s">
        <v>14</v>
      </c>
      <c r="C16" s="12" t="s">
        <v>26</v>
      </c>
      <c r="D16" s="12" t="s">
        <v>157</v>
      </c>
      <c r="E16" s="12" t="s">
        <v>159</v>
      </c>
      <c r="F16" s="12" t="s">
        <v>129</v>
      </c>
      <c r="G16" s="11">
        <v>2026.0</v>
      </c>
      <c r="H16" s="13" t="str">
        <f t="shared" si="1"/>
        <v/>
      </c>
      <c r="I16" s="14"/>
      <c r="J16" s="15"/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41">
      <c r="H941" s="20"/>
    </row>
  </sheetData>
  <mergeCells count="4">
    <mergeCell ref="A1:K1"/>
    <mergeCell ref="A2:K2"/>
    <mergeCell ref="A3:K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19.88"/>
    <col customWidth="1" min="4" max="4" width="21.38"/>
    <col customWidth="1" min="5" max="5" width="23.0"/>
    <col customWidth="1" min="6" max="6" width="31.75"/>
    <col customWidth="1" min="8" max="8" width="3.88"/>
    <col customWidth="1" min="9" max="9" width="6.63"/>
    <col customWidth="1" min="10" max="10" width="3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23</v>
      </c>
      <c r="D7" s="12" t="s">
        <v>24</v>
      </c>
      <c r="E7" s="12" t="s">
        <v>28</v>
      </c>
      <c r="F7" s="12" t="s">
        <v>32</v>
      </c>
      <c r="G7" s="11">
        <v>2026.0</v>
      </c>
      <c r="H7" s="13" t="str">
        <f t="shared" ref="H7:H22" si="1">IF(I7&lt;&gt;"","✓","")</f>
        <v/>
      </c>
      <c r="I7" s="14"/>
      <c r="J7" s="15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23</v>
      </c>
      <c r="D8" s="12" t="s">
        <v>53</v>
      </c>
      <c r="E8" s="12" t="s">
        <v>54</v>
      </c>
      <c r="F8" s="12" t="s">
        <v>55</v>
      </c>
      <c r="G8" s="11">
        <v>2026.0</v>
      </c>
      <c r="H8" s="13" t="str">
        <f t="shared" si="1"/>
        <v/>
      </c>
      <c r="I8" s="14"/>
      <c r="J8" s="15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23</v>
      </c>
      <c r="D9" s="12" t="s">
        <v>67</v>
      </c>
      <c r="E9" s="12" t="s">
        <v>68</v>
      </c>
      <c r="F9" s="12" t="s">
        <v>69</v>
      </c>
      <c r="G9" s="11">
        <v>2026.0</v>
      </c>
      <c r="H9" s="13" t="str">
        <f t="shared" si="1"/>
        <v/>
      </c>
      <c r="I9" s="14"/>
      <c r="J9" s="15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23</v>
      </c>
      <c r="D10" s="12" t="s">
        <v>80</v>
      </c>
      <c r="E10" s="12" t="s">
        <v>83</v>
      </c>
      <c r="F10" s="12" t="s">
        <v>84</v>
      </c>
      <c r="G10" s="11">
        <v>2026.0</v>
      </c>
      <c r="H10" s="13" t="str">
        <f t="shared" si="1"/>
        <v/>
      </c>
      <c r="I10" s="14"/>
      <c r="J10" s="15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23</v>
      </c>
      <c r="D11" s="12" t="s">
        <v>95</v>
      </c>
      <c r="E11" s="12" t="s">
        <v>97</v>
      </c>
      <c r="F11" s="12" t="s">
        <v>99</v>
      </c>
      <c r="G11" s="11">
        <v>2026.0</v>
      </c>
      <c r="H11" s="13" t="str">
        <f t="shared" si="1"/>
        <v/>
      </c>
      <c r="I11" s="14"/>
      <c r="J11" s="15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23</v>
      </c>
      <c r="D12" s="12" t="s">
        <v>106</v>
      </c>
      <c r="E12" s="12" t="s">
        <v>108</v>
      </c>
      <c r="F12" s="12" t="s">
        <v>99</v>
      </c>
      <c r="G12" s="11">
        <v>2026.0</v>
      </c>
      <c r="H12" s="13" t="str">
        <f t="shared" si="1"/>
        <v/>
      </c>
      <c r="I12" s="14"/>
      <c r="J12" s="15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23</v>
      </c>
      <c r="D13" s="12" t="s">
        <v>121</v>
      </c>
      <c r="E13" s="12" t="s">
        <v>123</v>
      </c>
      <c r="F13" s="12" t="s">
        <v>99</v>
      </c>
      <c r="G13" s="11">
        <v>2026.0</v>
      </c>
      <c r="H13" s="13" t="str">
        <f t="shared" si="1"/>
        <v/>
      </c>
      <c r="I13" s="14"/>
      <c r="J13" s="15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2" t="s">
        <v>14</v>
      </c>
      <c r="C14" s="12" t="s">
        <v>23</v>
      </c>
      <c r="D14" s="12" t="s">
        <v>133</v>
      </c>
      <c r="E14" s="12" t="s">
        <v>134</v>
      </c>
      <c r="F14" s="12" t="s">
        <v>99</v>
      </c>
      <c r="G14" s="11">
        <v>2026.0</v>
      </c>
      <c r="H14" s="13" t="str">
        <f t="shared" si="1"/>
        <v/>
      </c>
      <c r="I14" s="14"/>
      <c r="J14" s="15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2" t="s">
        <v>14</v>
      </c>
      <c r="C15" s="12" t="s">
        <v>23</v>
      </c>
      <c r="D15" s="12" t="s">
        <v>142</v>
      </c>
      <c r="E15" s="12" t="s">
        <v>144</v>
      </c>
      <c r="F15" s="12" t="s">
        <v>69</v>
      </c>
      <c r="G15" s="11">
        <v>2026.0</v>
      </c>
      <c r="H15" s="13" t="str">
        <f t="shared" si="1"/>
        <v/>
      </c>
      <c r="I15" s="14"/>
      <c r="J15" s="15"/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2" t="s">
        <v>14</v>
      </c>
      <c r="C16" s="12" t="s">
        <v>23</v>
      </c>
      <c r="D16" s="12" t="s">
        <v>162</v>
      </c>
      <c r="E16" s="12" t="s">
        <v>163</v>
      </c>
      <c r="F16" s="12" t="s">
        <v>84</v>
      </c>
      <c r="G16" s="11">
        <v>2026.0</v>
      </c>
      <c r="H16" s="13" t="str">
        <f t="shared" si="1"/>
        <v/>
      </c>
      <c r="I16" s="14"/>
      <c r="J16" s="15"/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2" t="s">
        <v>14</v>
      </c>
      <c r="C17" s="12" t="s">
        <v>23</v>
      </c>
      <c r="D17" s="12" t="s">
        <v>164</v>
      </c>
      <c r="E17" s="12" t="s">
        <v>165</v>
      </c>
      <c r="F17" s="12" t="s">
        <v>166</v>
      </c>
      <c r="G17" s="11">
        <v>2026.0</v>
      </c>
      <c r="H17" s="13" t="str">
        <f t="shared" si="1"/>
        <v/>
      </c>
      <c r="I17" s="14"/>
      <c r="J17" s="15"/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2" t="s">
        <v>14</v>
      </c>
      <c r="C18" s="12" t="s">
        <v>23</v>
      </c>
      <c r="D18" s="12" t="s">
        <v>167</v>
      </c>
      <c r="E18" s="12" t="s">
        <v>168</v>
      </c>
      <c r="F18" s="12" t="s">
        <v>169</v>
      </c>
      <c r="G18" s="11">
        <v>2026.0</v>
      </c>
      <c r="H18" s="13" t="str">
        <f t="shared" si="1"/>
        <v/>
      </c>
      <c r="I18" s="14"/>
      <c r="J18" s="15"/>
      <c r="K18" s="1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2" t="s">
        <v>14</v>
      </c>
      <c r="C19" s="12" t="s">
        <v>23</v>
      </c>
      <c r="D19" s="12" t="s">
        <v>140</v>
      </c>
      <c r="E19" s="12" t="s">
        <v>170</v>
      </c>
      <c r="F19" s="12" t="s">
        <v>171</v>
      </c>
      <c r="G19" s="11">
        <v>2026.0</v>
      </c>
      <c r="H19" s="13" t="str">
        <f t="shared" si="1"/>
        <v/>
      </c>
      <c r="I19" s="14"/>
      <c r="J19" s="15"/>
      <c r="K19" s="1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2" t="s">
        <v>14</v>
      </c>
      <c r="C20" s="12" t="s">
        <v>23</v>
      </c>
      <c r="D20" s="12" t="s">
        <v>172</v>
      </c>
      <c r="E20" s="12" t="s">
        <v>173</v>
      </c>
      <c r="F20" s="12" t="s">
        <v>84</v>
      </c>
      <c r="G20" s="11">
        <v>2026.0</v>
      </c>
      <c r="H20" s="13" t="str">
        <f t="shared" si="1"/>
        <v/>
      </c>
      <c r="I20" s="14"/>
      <c r="J20" s="15"/>
      <c r="K20" s="1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2" t="s">
        <v>14</v>
      </c>
      <c r="C21" s="12" t="s">
        <v>23</v>
      </c>
      <c r="D21" s="12" t="s">
        <v>174</v>
      </c>
      <c r="E21" s="12" t="s">
        <v>175</v>
      </c>
      <c r="F21" s="12" t="s">
        <v>99</v>
      </c>
      <c r="G21" s="11">
        <v>2026.0</v>
      </c>
      <c r="H21" s="13" t="str">
        <f t="shared" si="1"/>
        <v/>
      </c>
      <c r="I21" s="14"/>
      <c r="J21" s="15"/>
      <c r="K21" s="1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">
        <v>16.0</v>
      </c>
      <c r="B22" s="12" t="s">
        <v>14</v>
      </c>
      <c r="C22" s="12" t="s">
        <v>23</v>
      </c>
      <c r="D22" s="12" t="s">
        <v>176</v>
      </c>
      <c r="E22" s="12" t="s">
        <v>177</v>
      </c>
      <c r="F22" s="12" t="s">
        <v>169</v>
      </c>
      <c r="G22" s="11">
        <v>2026.0</v>
      </c>
      <c r="H22" s="13" t="str">
        <f t="shared" si="1"/>
        <v/>
      </c>
      <c r="I22" s="14"/>
      <c r="J22" s="15"/>
      <c r="K22" s="1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49">
      <c r="H949" s="20"/>
    </row>
  </sheetData>
  <mergeCells count="4">
    <mergeCell ref="A1:K1"/>
    <mergeCell ref="A2:K2"/>
    <mergeCell ref="A3:K3"/>
    <mergeCell ref="H6:I6"/>
  </mergeCells>
  <drawing r:id="rId1"/>
</worksheet>
</file>