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YA MAJU" sheetId="1" r:id="rId5"/>
    <sheet state="visible" name="MEKAR JATI" sheetId="2" r:id="rId6"/>
    <sheet state="visible" name="SUAK SAMIN" sheetId="3" r:id="rId7"/>
    <sheet state="visible" name="SUNGAI JERING" sheetId="4" r:id="rId8"/>
    <sheet state="visible" name="SUNGAI RAYA" sheetId="5" r:id="rId9"/>
    <sheet state="visible" name="TELUK NILAU" sheetId="6" r:id="rId10"/>
    <sheet state="visible" name="PARIT PUDIN" sheetId="7" r:id="rId11"/>
    <sheet state="visible" name="PARIT SIDANG" sheetId="8" r:id="rId12"/>
    <sheet state="visible" name="SUNGAI BAUNG" sheetId="9" r:id="rId13"/>
    <sheet state="visible" name="SUNGAI PAMPANG" sheetId="10" r:id="rId14"/>
  </sheets>
  <definedNames/>
  <calcPr/>
</workbook>
</file>

<file path=xl/sharedStrings.xml><?xml version="1.0" encoding="utf-8"?>
<sst xmlns="http://schemas.openxmlformats.org/spreadsheetml/2006/main" count="763" uniqueCount="328">
  <si>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</si>
  <si>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</si>
  <si>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</si>
  <si>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</si>
  <si>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</si>
  <si>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</si>
  <si>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</si>
  <si>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</si>
  <si>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</si>
  <si>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</si>
  <si>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</si>
  <si>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</si>
  <si>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</si>
  <si>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</si>
  <si>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PENGABUAN</t>
  </si>
  <si>
    <t>SUNGAI JERING</t>
  </si>
  <si>
    <t>KARYA MAJU</t>
  </si>
  <si>
    <t>ABDUL HALIM</t>
  </si>
  <si>
    <t>AHMAT HKAIR</t>
  </si>
  <si>
    <t>1506032003730002</t>
  </si>
  <si>
    <t>PARIT LAMPIHONG Rt. 10</t>
  </si>
  <si>
    <t>1506031909880005</t>
  </si>
  <si>
    <t>RT 003 DUSUN KARYA INDAH</t>
  </si>
  <si>
    <t>SUAK SAMIN</t>
  </si>
  <si>
    <t>MEKAR JATI</t>
  </si>
  <si>
    <t>BASTIAH</t>
  </si>
  <si>
    <t>1506035311640003</t>
  </si>
  <si>
    <t>ISMATI</t>
  </si>
  <si>
    <t>DUSUN SEDERHANA RT 04</t>
  </si>
  <si>
    <t>1506034809820002</t>
  </si>
  <si>
    <t>RT 13 DUSUN SIDO MULYO</t>
  </si>
  <si>
    <t>HARIYANTO</t>
  </si>
  <si>
    <t>ARBAIN (TPA)</t>
  </si>
  <si>
    <t>1506030605900003</t>
  </si>
  <si>
    <t>1506031006920004</t>
  </si>
  <si>
    <t>DUSUN SEDERHANA RT 03</t>
  </si>
  <si>
    <t>AISAH</t>
  </si>
  <si>
    <t>PARIT LAMPIHING RT. 10</t>
  </si>
  <si>
    <t>1506034107700009</t>
  </si>
  <si>
    <t>RT 004 DUSUN KARYA INDAH</t>
  </si>
  <si>
    <t>MISRI</t>
  </si>
  <si>
    <t>1506032510760001</t>
  </si>
  <si>
    <t>RT 11 DUSUN SIDO MAKMUR</t>
  </si>
  <si>
    <t>ARBAIYAH</t>
  </si>
  <si>
    <t>AMINAH</t>
  </si>
  <si>
    <t>JAINAB</t>
  </si>
  <si>
    <t>1404185005810001</t>
  </si>
  <si>
    <t>1506034303420001</t>
  </si>
  <si>
    <t>SEI JERING, RT. 005</t>
  </si>
  <si>
    <t>RT 005 DUSUN KARYA INDAH</t>
  </si>
  <si>
    <t>DUSUN SEDERHANA RT 02</t>
  </si>
  <si>
    <t>MUHA,JIRIN</t>
  </si>
  <si>
    <t>1506031508750001</t>
  </si>
  <si>
    <t>RT 08 DUSUN NIBUNG JAYA</t>
  </si>
  <si>
    <t>HATIAH</t>
  </si>
  <si>
    <t>IBAS</t>
  </si>
  <si>
    <t>SUAKSAMIN</t>
  </si>
  <si>
    <t>1506036612860002</t>
  </si>
  <si>
    <t>1506031105540001</t>
  </si>
  <si>
    <t>M. JALI</t>
  </si>
  <si>
    <t>SEI JERING, RT. 001</t>
  </si>
  <si>
    <t>1506030101610002</t>
  </si>
  <si>
    <t>ROHMAT</t>
  </si>
  <si>
    <t>JALAN PARIT 6 DUSUN</t>
  </si>
  <si>
    <t>1506030604510001</t>
  </si>
  <si>
    <t>IBRAHIM</t>
  </si>
  <si>
    <t>JAINAL</t>
  </si>
  <si>
    <t>1506030405800002</t>
  </si>
  <si>
    <t>1506030605640001</t>
  </si>
  <si>
    <t>SAHUDI</t>
  </si>
  <si>
    <t>1506031306770003</t>
  </si>
  <si>
    <t>KATMINI</t>
  </si>
  <si>
    <t>JAKPAR</t>
  </si>
  <si>
    <t>1506034412690002</t>
  </si>
  <si>
    <t>1506031110660002</t>
  </si>
  <si>
    <t>RT 001 DUSUN KARYA INDAH</t>
  </si>
  <si>
    <t>SARING</t>
  </si>
  <si>
    <t>1506031205770001</t>
  </si>
  <si>
    <t>RT 04 DUSUN NIBUNG JAYA</t>
  </si>
  <si>
    <t>MARIAM</t>
  </si>
  <si>
    <t>JAMALAUDIN</t>
  </si>
  <si>
    <t>1506035005530001</t>
  </si>
  <si>
    <t>PARIT LAMPIHONG RT. 06</t>
  </si>
  <si>
    <t>1506030504640003</t>
  </si>
  <si>
    <t>SUKATMAN</t>
  </si>
  <si>
    <t>RT 11 DUSUN SIMPANG RAYA</t>
  </si>
  <si>
    <t>1506030107870105</t>
  </si>
  <si>
    <t>RT 01 DUSUN BERINGIN</t>
  </si>
  <si>
    <t>MASLAN</t>
  </si>
  <si>
    <t>1506031407660002</t>
  </si>
  <si>
    <t>JARIYAH</t>
  </si>
  <si>
    <t>SULAIMAN</t>
  </si>
  <si>
    <t>1506034107540002</t>
  </si>
  <si>
    <t>1506030906710001</t>
  </si>
  <si>
    <t>MISIDI</t>
  </si>
  <si>
    <t>1507152012800003</t>
  </si>
  <si>
    <t>SULANGKIR</t>
  </si>
  <si>
    <t>JARKASI</t>
  </si>
  <si>
    <t>1506031207740002</t>
  </si>
  <si>
    <t>1506031106610005</t>
  </si>
  <si>
    <t>ROHANI</t>
  </si>
  <si>
    <t>1506034908990005</t>
  </si>
  <si>
    <t>PARIT BARU RT 05</t>
  </si>
  <si>
    <t>SURYONO</t>
  </si>
  <si>
    <t>1506030409830001</t>
  </si>
  <si>
    <t>JUMRI</t>
  </si>
  <si>
    <t>1506030710750002</t>
  </si>
  <si>
    <t>SAHRUNI</t>
  </si>
  <si>
    <t>1506090101890026</t>
  </si>
  <si>
    <t>M.NURKHOLIS AL MAARIF</t>
  </si>
  <si>
    <t>1506032310950001</t>
  </si>
  <si>
    <t>RT 13 DUSUN SUNGAI NIYUR</t>
  </si>
  <si>
    <t>SITI ASIAH</t>
  </si>
  <si>
    <t>1506035907350001</t>
  </si>
  <si>
    <t>MASITAH</t>
  </si>
  <si>
    <t>1506034108800003</t>
  </si>
  <si>
    <t>TASIDAH</t>
  </si>
  <si>
    <t>1506035002600001</t>
  </si>
  <si>
    <t>MINDI</t>
  </si>
  <si>
    <t>1506030309670003</t>
  </si>
  <si>
    <t>NURDIN</t>
  </si>
  <si>
    <t>1506030107870073</t>
  </si>
  <si>
    <t>RENALDI</t>
  </si>
  <si>
    <t>1506131002950002</t>
  </si>
  <si>
    <t>RT 006 DUSUN MULYA</t>
  </si>
  <si>
    <t>RIZAL PAHLEPI</t>
  </si>
  <si>
    <t>1506024903870001</t>
  </si>
  <si>
    <t>SIDI PURNOMO</t>
  </si>
  <si>
    <t>1506033004920003</t>
  </si>
  <si>
    <t>SUPINAH</t>
  </si>
  <si>
    <t>1506037112570003</t>
  </si>
  <si>
    <t>SUNGAI RAYA</t>
  </si>
  <si>
    <t>ASMURI</t>
  </si>
  <si>
    <t>1506030705540001</t>
  </si>
  <si>
    <t>RT 004 DESA SUNGAI RAYA</t>
  </si>
  <si>
    <t>BAHRUDIN</t>
  </si>
  <si>
    <t>1506031412850001</t>
  </si>
  <si>
    <t>RT 003 DESA SUNGAI RAYA</t>
  </si>
  <si>
    <t>BAHRUL SABRI</t>
  </si>
  <si>
    <t>1506030103720005</t>
  </si>
  <si>
    <t>BARLIAN</t>
  </si>
  <si>
    <t>1506034104550003</t>
  </si>
  <si>
    <t>HAPNI</t>
  </si>
  <si>
    <t>1506031512910002</t>
  </si>
  <si>
    <t>ISMAIL</t>
  </si>
  <si>
    <t>1506020107880046</t>
  </si>
  <si>
    <t>RT 001 DESA SUNGAI RAYA</t>
  </si>
  <si>
    <t>JAILANI</t>
  </si>
  <si>
    <t>1506030802800004</t>
  </si>
  <si>
    <t>RT 005 DESA SUNGAI RAYA</t>
  </si>
  <si>
    <t>M. NURBUDI</t>
  </si>
  <si>
    <t>1506030401850003</t>
  </si>
  <si>
    <t>MASYITAH</t>
  </si>
  <si>
    <t>1506035311660002</t>
  </si>
  <si>
    <t>1506030203860001</t>
  </si>
  <si>
    <t>NURUL HUDA</t>
  </si>
  <si>
    <t>1506034703890004</t>
  </si>
  <si>
    <t>RUSLI</t>
  </si>
  <si>
    <t>1506030109710001</t>
  </si>
  <si>
    <t>SYARIFAH</t>
  </si>
  <si>
    <t>1506034803550002</t>
  </si>
  <si>
    <t>TARSI</t>
  </si>
  <si>
    <t>1506031005350001</t>
  </si>
  <si>
    <t>ANDIKA SAPUTRA</t>
  </si>
  <si>
    <t>1506030701860006</t>
  </si>
  <si>
    <t>RT. 03 DUSUN NYIUR GADING</t>
  </si>
  <si>
    <t>SYAHRANI</t>
  </si>
  <si>
    <t>1506030803830001</t>
  </si>
  <si>
    <t>RT. 04 DUSUN NYIUR GADING</t>
  </si>
  <si>
    <t>TELUK NILAU</t>
  </si>
  <si>
    <t>AGUS SU6ITO</t>
  </si>
  <si>
    <t>1506030508810003</t>
  </si>
  <si>
    <t>RT. 25 TELUK NILAU</t>
  </si>
  <si>
    <t>AINAH</t>
  </si>
  <si>
    <t>1506035507500006</t>
  </si>
  <si>
    <t>RT. 16 TELUK NILAU</t>
  </si>
  <si>
    <t>BASIAH</t>
  </si>
  <si>
    <t>1506035012560001</t>
  </si>
  <si>
    <t>RT. 05 TELUK NILAU</t>
  </si>
  <si>
    <t>HABIB</t>
  </si>
  <si>
    <t>1506061010750001</t>
  </si>
  <si>
    <t>RT. 08 TELUK NILAU</t>
  </si>
  <si>
    <t>HARLAN</t>
  </si>
  <si>
    <t>1506081011910005</t>
  </si>
  <si>
    <t>HELMI</t>
  </si>
  <si>
    <t>1404014505860002</t>
  </si>
  <si>
    <t>HENDRAWAN</t>
  </si>
  <si>
    <t>1506031112790003</t>
  </si>
  <si>
    <t>KAILANI</t>
  </si>
  <si>
    <t>1506030107670019</t>
  </si>
  <si>
    <t>RT. 33 TELUK NILAU</t>
  </si>
  <si>
    <t>M. MUSA</t>
  </si>
  <si>
    <t>1506030603820004</t>
  </si>
  <si>
    <t>M. ROHMAN</t>
  </si>
  <si>
    <t>1506032810940002</t>
  </si>
  <si>
    <t>M. SARANI</t>
  </si>
  <si>
    <t>1506030905920008</t>
  </si>
  <si>
    <t>RT. 01 TELUK NILAU</t>
  </si>
  <si>
    <t>M.FAUJI</t>
  </si>
  <si>
    <t>1506030905840001</t>
  </si>
  <si>
    <t>RT. 18 TELUK NILAU</t>
  </si>
  <si>
    <t>SARBANI</t>
  </si>
  <si>
    <t>1506130305900002</t>
  </si>
  <si>
    <t>SITI RUKAYAH</t>
  </si>
  <si>
    <t>1506034612920002</t>
  </si>
  <si>
    <t>RT. 24 TELUK NILAU</t>
  </si>
  <si>
    <t>SUBUR</t>
  </si>
  <si>
    <t>1506037012420002</t>
  </si>
  <si>
    <t>SUHAIMI</t>
  </si>
  <si>
    <t>1506030607620003</t>
  </si>
  <si>
    <t>PARIT PUDIN</t>
  </si>
  <si>
    <t>1506030904840003</t>
  </si>
  <si>
    <t>ABDUL HAMID</t>
  </si>
  <si>
    <t>1506030803570001</t>
  </si>
  <si>
    <t>RT 02 DUSUN PUDIN PASAR</t>
  </si>
  <si>
    <t>1506030505850007</t>
  </si>
  <si>
    <t>ZAINAL</t>
  </si>
  <si>
    <t>1506062602840001</t>
  </si>
  <si>
    <t>AMINNUDIN</t>
  </si>
  <si>
    <t>ZAINUDIN</t>
  </si>
  <si>
    <t>1506030205670003</t>
  </si>
  <si>
    <t>1506032606860002</t>
  </si>
  <si>
    <t>RT 01 DUSUN PUDIN PASAR</t>
  </si>
  <si>
    <t>TELUKNILAU</t>
  </si>
  <si>
    <t>HASNAH</t>
  </si>
  <si>
    <t>ANSORI</t>
  </si>
  <si>
    <t>1506036003630001</t>
  </si>
  <si>
    <t>1506030607930001</t>
  </si>
  <si>
    <t>TELUK NILAU RT 33</t>
  </si>
  <si>
    <t>RT 11 DUSUN JATI SARI</t>
  </si>
  <si>
    <t>PARIT SIDANG</t>
  </si>
  <si>
    <t>ABDUR ROHMAN</t>
  </si>
  <si>
    <t>1506030602540002</t>
  </si>
  <si>
    <t>RT 06 DUSUN PUDIN DARAT</t>
  </si>
  <si>
    <t>RT 004</t>
  </si>
  <si>
    <t>DAHLAN</t>
  </si>
  <si>
    <t>1506031202590001</t>
  </si>
  <si>
    <t>INTANIAH</t>
  </si>
  <si>
    <t>1506035708670002</t>
  </si>
  <si>
    <t>1506030107590025</t>
  </si>
  <si>
    <t>BAMBANG SUHARYADI</t>
  </si>
  <si>
    <t>1506032001000003</t>
  </si>
  <si>
    <t>RT. 06</t>
  </si>
  <si>
    <t>1506030301770001</t>
  </si>
  <si>
    <t>HAMIAH</t>
  </si>
  <si>
    <t>MANSUR</t>
  </si>
  <si>
    <t>1506035207650003</t>
  </si>
  <si>
    <t>1506030107640034</t>
  </si>
  <si>
    <t>RT 05 DUSUN PUDIN DARAT</t>
  </si>
  <si>
    <t>RT 001</t>
  </si>
  <si>
    <t>MUNIRAH</t>
  </si>
  <si>
    <t>JALALUDIN</t>
  </si>
  <si>
    <t>1506024304640004</t>
  </si>
  <si>
    <t>1506031708720004</t>
  </si>
  <si>
    <t>RT 10 DUSUN JATI SARI</t>
  </si>
  <si>
    <t>RT 002</t>
  </si>
  <si>
    <t>NAWARI</t>
  </si>
  <si>
    <t>JAMHARI</t>
  </si>
  <si>
    <t>1506030305580001</t>
  </si>
  <si>
    <t>1506030812990002</t>
  </si>
  <si>
    <t>MISPAN</t>
  </si>
  <si>
    <t>1506032204880001</t>
  </si>
  <si>
    <t>1506032606820002</t>
  </si>
  <si>
    <t>RT 003</t>
  </si>
  <si>
    <t>NAFIS QURTUBI</t>
  </si>
  <si>
    <t>1506031904790002</t>
  </si>
  <si>
    <t>RT. 03</t>
  </si>
  <si>
    <t>SAHRIL</t>
  </si>
  <si>
    <t>1506032008990002</t>
  </si>
  <si>
    <t>RT 007</t>
  </si>
  <si>
    <t>1506030708620002</t>
  </si>
  <si>
    <t>RT 005</t>
  </si>
  <si>
    <t>YADI</t>
  </si>
  <si>
    <t>1506030707830007</t>
  </si>
  <si>
    <t>SUNGAI BAUNG</t>
  </si>
  <si>
    <t>ARDANA</t>
  </si>
  <si>
    <t>1506030308920004</t>
  </si>
  <si>
    <t>DUSUN KARYA BARU RT. 007</t>
  </si>
  <si>
    <t>DEDI IRWANTO</t>
  </si>
  <si>
    <t>1507112603980001</t>
  </si>
  <si>
    <t>DUSUN KARYA BARU RT. 009</t>
  </si>
  <si>
    <t>ENDRAWAN</t>
  </si>
  <si>
    <t>1506030708960008</t>
  </si>
  <si>
    <t>HADI ISMANTO</t>
  </si>
  <si>
    <t>1506031111820006</t>
  </si>
  <si>
    <t>DUSUN BERINGIN RT. 005</t>
  </si>
  <si>
    <t>HASAN</t>
  </si>
  <si>
    <t>1506031809930004</t>
  </si>
  <si>
    <t>M. FADHLI</t>
  </si>
  <si>
    <t>1506111305930001</t>
  </si>
  <si>
    <t>M. YUSUF</t>
  </si>
  <si>
    <t>1506031406590003</t>
  </si>
  <si>
    <t>DUSUN KARYA BARU RT. 008</t>
  </si>
  <si>
    <t>MALIKI</t>
  </si>
  <si>
    <t>1506032502860001</t>
  </si>
  <si>
    <t>MUHAMMAD SAHRIN</t>
  </si>
  <si>
    <t>1506031703010001</t>
  </si>
  <si>
    <t>NAJARI</t>
  </si>
  <si>
    <t>1506111306850001</t>
  </si>
  <si>
    <t>NASIR</t>
  </si>
  <si>
    <t>1506030202710001</t>
  </si>
  <si>
    <t>DUSUN HARAPAN RT. 002</t>
  </si>
  <si>
    <t>PATINI</t>
  </si>
  <si>
    <t>1506036405820001</t>
  </si>
  <si>
    <t>DUSUN BERINGIN RT. 004</t>
  </si>
  <si>
    <t>ROHMAD</t>
  </si>
  <si>
    <t>1506030407690004</t>
  </si>
  <si>
    <t>SABRI</t>
  </si>
  <si>
    <t>1506030805760001</t>
  </si>
  <si>
    <t>DUSUN BERINGIN RT. 003</t>
  </si>
  <si>
    <t>SAIPUDIN</t>
  </si>
  <si>
    <t>1506031612910001</t>
  </si>
  <si>
    <t>SALBIAH</t>
  </si>
  <si>
    <t>1506034906620001</t>
  </si>
  <si>
    <t>SALEH</t>
  </si>
  <si>
    <t>1506030102780005</t>
  </si>
  <si>
    <t>SOBARIN</t>
  </si>
  <si>
    <t>1506030402910002</t>
  </si>
  <si>
    <t>USMAN</t>
  </si>
  <si>
    <t>7308140107720082</t>
  </si>
  <si>
    <t>DUSUN KARYA BARU RT. 010</t>
  </si>
  <si>
    <t>SUNGAI PAMPANG</t>
  </si>
  <si>
    <t>ASROPI</t>
  </si>
  <si>
    <t>1500031509010003</t>
  </si>
  <si>
    <t>DUSUN MAKMUR RT. 04</t>
  </si>
  <si>
    <t>ARMAIN</t>
  </si>
  <si>
    <t>1506031505930004</t>
  </si>
  <si>
    <t>DUSUN MAKMUR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</si>
</sst>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6.38"/>
    <col customWidth="1" min="4" max="4" width="23.13"/>
    <col customWidth="1" min="5" max="5" width="19.88"/>
    <col customWidth="1" min="6" max="6" width="27.5"/>
    <col customWidth="1" min="8" max="8" width="6.13"/>
    <col customWidth="1" min="9" max="9" width="9.38"/>
    <col customWidth="1" min="10" max="10" width="6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16</v>
      </c>
      <c r="D7" s="13" t="s">
        <v>18</v>
      </c>
      <c r="E7" s="12" t="s">
        <v>21</v>
      </c>
      <c r="F7" s="12" t="s">
        <v>22</v>
      </c>
      <c r="G7" s="12">
        <v>2025.0</v>
      </c>
      <c r="H7" s="14" t="str">
        <f t="shared" ref="H7:H24" si="1">IF(I7&lt;&gt;"","✓","")</f>
        <v/>
      </c>
      <c r="I7" s="15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16</v>
      </c>
      <c r="D8" s="13" t="s">
        <v>36</v>
      </c>
      <c r="E8" s="12" t="s">
        <v>38</v>
      </c>
      <c r="F8" s="12" t="s">
        <v>39</v>
      </c>
      <c r="G8" s="12">
        <v>2025.0</v>
      </c>
      <c r="H8" s="14" t="str">
        <f t="shared" si="1"/>
        <v>✓</v>
      </c>
      <c r="I8" s="16">
        <v>2025.0</v>
      </c>
      <c r="J8" s="13">
        <v>1.0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16</v>
      </c>
      <c r="D9" s="13" t="s">
        <v>44</v>
      </c>
      <c r="E9" s="12" t="s">
        <v>47</v>
      </c>
      <c r="F9" s="12" t="s">
        <v>49</v>
      </c>
      <c r="G9" s="12">
        <v>2025.0</v>
      </c>
      <c r="H9" s="14" t="str">
        <f t="shared" si="1"/>
        <v>✓</v>
      </c>
      <c r="I9" s="16">
        <v>2025.0</v>
      </c>
      <c r="J9" s="13">
        <v>1.0</v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16</v>
      </c>
      <c r="D10" s="13" t="s">
        <v>54</v>
      </c>
      <c r="E10" s="12" t="s">
        <v>57</v>
      </c>
      <c r="F10" s="12" t="s">
        <v>22</v>
      </c>
      <c r="G10" s="12">
        <v>2025.0</v>
      </c>
      <c r="H10" s="14" t="str">
        <f t="shared" si="1"/>
        <v/>
      </c>
      <c r="I10" s="15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16</v>
      </c>
      <c r="D11" s="13" t="s">
        <v>65</v>
      </c>
      <c r="E11" s="12" t="s">
        <v>67</v>
      </c>
      <c r="F11" s="12" t="s">
        <v>22</v>
      </c>
      <c r="G11" s="12">
        <v>2025.0</v>
      </c>
      <c r="H11" s="14" t="str">
        <f t="shared" si="1"/>
        <v>✓</v>
      </c>
      <c r="I11" s="16">
        <v>2025.0</v>
      </c>
      <c r="J11" s="13">
        <v>1.0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16</v>
      </c>
      <c r="D12" s="13" t="s">
        <v>72</v>
      </c>
      <c r="E12" s="12" t="s">
        <v>74</v>
      </c>
      <c r="F12" s="12" t="s">
        <v>75</v>
      </c>
      <c r="G12" s="12">
        <v>2025.0</v>
      </c>
      <c r="H12" s="14" t="str">
        <f t="shared" si="1"/>
        <v>✓</v>
      </c>
      <c r="I12" s="16">
        <v>2025.0</v>
      </c>
      <c r="J12" s="13">
        <v>1.0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16</v>
      </c>
      <c r="D13" s="13" t="s">
        <v>80</v>
      </c>
      <c r="E13" s="12" t="s">
        <v>83</v>
      </c>
      <c r="F13" s="12" t="s">
        <v>85</v>
      </c>
      <c r="G13" s="12">
        <v>2025.0</v>
      </c>
      <c r="H13" s="14" t="str">
        <f t="shared" si="1"/>
        <v>✓</v>
      </c>
      <c r="I13" s="16">
        <v>2025.0</v>
      </c>
      <c r="J13" s="13">
        <v>1.0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16</v>
      </c>
      <c r="D14" s="13" t="s">
        <v>90</v>
      </c>
      <c r="E14" s="12" t="s">
        <v>92</v>
      </c>
      <c r="F14" s="12" t="s">
        <v>49</v>
      </c>
      <c r="G14" s="12">
        <v>2025.0</v>
      </c>
      <c r="H14" s="14" t="str">
        <f t="shared" si="1"/>
        <v>✓</v>
      </c>
      <c r="I14" s="16">
        <v>2025.0</v>
      </c>
      <c r="J14" s="13">
        <v>1.0</v>
      </c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16</v>
      </c>
      <c r="D15" s="13" t="s">
        <v>97</v>
      </c>
      <c r="E15" s="12" t="s">
        <v>99</v>
      </c>
      <c r="F15" s="12" t="s">
        <v>75</v>
      </c>
      <c r="G15" s="12">
        <v>2025.0</v>
      </c>
      <c r="H15" s="14" t="str">
        <f t="shared" si="1"/>
        <v>✓</v>
      </c>
      <c r="I15" s="16">
        <v>2025.0</v>
      </c>
      <c r="J15" s="13">
        <v>1.0</v>
      </c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16</v>
      </c>
      <c r="D16" s="13" t="s">
        <v>105</v>
      </c>
      <c r="E16" s="12" t="s">
        <v>106</v>
      </c>
      <c r="F16" s="12" t="s">
        <v>39</v>
      </c>
      <c r="G16" s="12">
        <v>2025.0</v>
      </c>
      <c r="H16" s="14" t="str">
        <f t="shared" si="1"/>
        <v>✓</v>
      </c>
      <c r="I16" s="16">
        <v>2025.0</v>
      </c>
      <c r="J16" s="13">
        <v>1.0</v>
      </c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16</v>
      </c>
      <c r="D17" s="13" t="s">
        <v>109</v>
      </c>
      <c r="E17" s="12" t="s">
        <v>110</v>
      </c>
      <c r="F17" s="12" t="s">
        <v>111</v>
      </c>
      <c r="G17" s="12">
        <v>2025.0</v>
      </c>
      <c r="H17" s="14" t="str">
        <f t="shared" si="1"/>
        <v>✓</v>
      </c>
      <c r="I17" s="16">
        <v>2025.0</v>
      </c>
      <c r="J17" s="13">
        <v>1.0</v>
      </c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16</v>
      </c>
      <c r="D18" s="13" t="s">
        <v>114</v>
      </c>
      <c r="E18" s="12" t="s">
        <v>115</v>
      </c>
      <c r="F18" s="12" t="s">
        <v>49</v>
      </c>
      <c r="G18" s="12">
        <v>2025.0</v>
      </c>
      <c r="H18" s="14" t="str">
        <f t="shared" si="1"/>
        <v/>
      </c>
      <c r="I18" s="15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16</v>
      </c>
      <c r="D19" s="13" t="s">
        <v>118</v>
      </c>
      <c r="E19" s="12" t="s">
        <v>119</v>
      </c>
      <c r="F19" s="12" t="s">
        <v>49</v>
      </c>
      <c r="G19" s="12">
        <v>2025.0</v>
      </c>
      <c r="H19" s="14" t="str">
        <f t="shared" si="1"/>
        <v>✓</v>
      </c>
      <c r="I19" s="16">
        <v>2025.0</v>
      </c>
      <c r="J19" s="13">
        <v>1.0</v>
      </c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16</v>
      </c>
      <c r="D20" s="13" t="s">
        <v>120</v>
      </c>
      <c r="E20" s="12" t="s">
        <v>121</v>
      </c>
      <c r="F20" s="12" t="s">
        <v>49</v>
      </c>
      <c r="G20" s="12">
        <v>2025.0</v>
      </c>
      <c r="H20" s="14" t="str">
        <f t="shared" si="1"/>
        <v>✓</v>
      </c>
      <c r="I20" s="16">
        <v>2025.0</v>
      </c>
      <c r="J20" s="13">
        <v>1.0</v>
      </c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16</v>
      </c>
      <c r="D21" s="13" t="s">
        <v>122</v>
      </c>
      <c r="E21" s="12" t="s">
        <v>123</v>
      </c>
      <c r="F21" s="12" t="s">
        <v>124</v>
      </c>
      <c r="G21" s="12">
        <v>2025.0</v>
      </c>
      <c r="H21" s="14" t="str">
        <f t="shared" si="1"/>
        <v>✓</v>
      </c>
      <c r="I21" s="16">
        <v>2025.0</v>
      </c>
      <c r="J21" s="13">
        <v>1.0</v>
      </c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16</v>
      </c>
      <c r="D22" s="13" t="s">
        <v>125</v>
      </c>
      <c r="E22" s="12" t="s">
        <v>126</v>
      </c>
      <c r="F22" s="12" t="s">
        <v>111</v>
      </c>
      <c r="G22" s="12">
        <v>2025.0</v>
      </c>
      <c r="H22" s="14" t="str">
        <f t="shared" si="1"/>
        <v>✓</v>
      </c>
      <c r="I22" s="16">
        <v>2025.0</v>
      </c>
      <c r="J22" s="13">
        <v>1.0</v>
      </c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16</v>
      </c>
      <c r="D23" s="13" t="s">
        <v>127</v>
      </c>
      <c r="E23" s="12" t="s">
        <v>128</v>
      </c>
      <c r="F23" s="12" t="s">
        <v>85</v>
      </c>
      <c r="G23" s="12">
        <v>2025.0</v>
      </c>
      <c r="H23" s="14" t="str">
        <f t="shared" si="1"/>
        <v/>
      </c>
      <c r="I23" s="15"/>
      <c r="J23" s="17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2" t="s">
        <v>14</v>
      </c>
      <c r="C24" s="12" t="s">
        <v>16</v>
      </c>
      <c r="D24" s="13" t="s">
        <v>129</v>
      </c>
      <c r="E24" s="12" t="s">
        <v>130</v>
      </c>
      <c r="F24" s="12" t="s">
        <v>85</v>
      </c>
      <c r="G24" s="12">
        <v>2025.0</v>
      </c>
      <c r="H24" s="14" t="str">
        <f t="shared" si="1"/>
        <v/>
      </c>
      <c r="I24" s="15"/>
      <c r="J24" s="17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6.38"/>
    <col customWidth="1" min="4" max="4" width="23.13"/>
    <col customWidth="1" min="5" max="5" width="19.88"/>
    <col customWidth="1" min="6" max="6" width="27.5"/>
    <col customWidth="1" min="8" max="8" width="6.13"/>
    <col customWidth="1" min="9" max="9" width="9.38"/>
    <col customWidth="1" min="10" max="10" width="6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24</v>
      </c>
      <c r="D7" s="13" t="s">
        <v>27</v>
      </c>
      <c r="E7" s="12" t="s">
        <v>29</v>
      </c>
      <c r="F7" s="12" t="s">
        <v>30</v>
      </c>
      <c r="G7" s="12">
        <v>2025.0</v>
      </c>
      <c r="H7" s="14" t="str">
        <f t="shared" ref="H7:H16" si="1">IF(I7&lt;&gt;"","✓","")</f>
        <v/>
      </c>
      <c r="I7" s="15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24</v>
      </c>
      <c r="D8" s="13" t="s">
        <v>40</v>
      </c>
      <c r="E8" s="12" t="s">
        <v>41</v>
      </c>
      <c r="F8" s="12" t="s">
        <v>42</v>
      </c>
      <c r="G8" s="12">
        <v>2025.0</v>
      </c>
      <c r="H8" s="14" t="str">
        <f t="shared" si="1"/>
        <v/>
      </c>
      <c r="I8" s="15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24</v>
      </c>
      <c r="D9" s="13" t="s">
        <v>51</v>
      </c>
      <c r="E9" s="12" t="s">
        <v>52</v>
      </c>
      <c r="F9" s="12" t="s">
        <v>53</v>
      </c>
      <c r="G9" s="12">
        <v>2025.0</v>
      </c>
      <c r="H9" s="14" t="str">
        <f t="shared" si="1"/>
        <v/>
      </c>
      <c r="I9" s="15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24</v>
      </c>
      <c r="D10" s="13" t="s">
        <v>62</v>
      </c>
      <c r="E10" s="12" t="s">
        <v>64</v>
      </c>
      <c r="F10" s="12" t="s">
        <v>53</v>
      </c>
      <c r="G10" s="12">
        <v>2025.0</v>
      </c>
      <c r="H10" s="14" t="str">
        <f t="shared" si="1"/>
        <v/>
      </c>
      <c r="I10" s="15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24</v>
      </c>
      <c r="D11" s="13" t="s">
        <v>69</v>
      </c>
      <c r="E11" s="12" t="s">
        <v>70</v>
      </c>
      <c r="F11" s="12" t="s">
        <v>30</v>
      </c>
      <c r="G11" s="12">
        <v>2025.0</v>
      </c>
      <c r="H11" s="14" t="str">
        <f t="shared" si="1"/>
        <v/>
      </c>
      <c r="I11" s="15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24</v>
      </c>
      <c r="D12" s="13" t="s">
        <v>76</v>
      </c>
      <c r="E12" s="12" t="s">
        <v>77</v>
      </c>
      <c r="F12" s="12" t="s">
        <v>78</v>
      </c>
      <c r="G12" s="12">
        <v>2025.0</v>
      </c>
      <c r="H12" s="14" t="str">
        <f t="shared" si="1"/>
        <v/>
      </c>
      <c r="I12" s="15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24</v>
      </c>
      <c r="D13" s="13" t="s">
        <v>84</v>
      </c>
      <c r="E13" s="12" t="s">
        <v>86</v>
      </c>
      <c r="F13" s="12" t="s">
        <v>87</v>
      </c>
      <c r="G13" s="12">
        <v>2025.0</v>
      </c>
      <c r="H13" s="14" t="str">
        <f t="shared" si="1"/>
        <v/>
      </c>
      <c r="I13" s="15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24</v>
      </c>
      <c r="D14" s="13" t="s">
        <v>91</v>
      </c>
      <c r="E14" s="12" t="s">
        <v>93</v>
      </c>
      <c r="F14" s="12" t="s">
        <v>42</v>
      </c>
      <c r="G14" s="12">
        <v>2025.0</v>
      </c>
      <c r="H14" s="14" t="str">
        <f t="shared" si="1"/>
        <v/>
      </c>
      <c r="I14" s="15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24</v>
      </c>
      <c r="D15" s="13" t="s">
        <v>96</v>
      </c>
      <c r="E15" s="12" t="s">
        <v>98</v>
      </c>
      <c r="F15" s="12" t="s">
        <v>87</v>
      </c>
      <c r="G15" s="12">
        <v>2025.0</v>
      </c>
      <c r="H15" s="14" t="str">
        <f t="shared" si="1"/>
        <v/>
      </c>
      <c r="I15" s="15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24</v>
      </c>
      <c r="D16" s="13" t="s">
        <v>103</v>
      </c>
      <c r="E16" s="12" t="s">
        <v>104</v>
      </c>
      <c r="F16" s="12" t="s">
        <v>78</v>
      </c>
      <c r="G16" s="12">
        <v>2025.0</v>
      </c>
      <c r="H16" s="14" t="str">
        <f t="shared" si="1"/>
        <v/>
      </c>
      <c r="I16" s="15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6.38"/>
    <col customWidth="1" min="4" max="4" width="23.13"/>
    <col customWidth="1" min="5" max="5" width="19.88"/>
    <col customWidth="1" min="6" max="6" width="27.5"/>
    <col customWidth="1" min="8" max="8" width="6.13"/>
    <col customWidth="1" min="9" max="9" width="9.38"/>
    <col customWidth="1" min="10" max="10" width="6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23</v>
      </c>
      <c r="D7" s="13" t="s">
        <v>25</v>
      </c>
      <c r="E7" s="12" t="s">
        <v>26</v>
      </c>
      <c r="F7" s="12" t="s">
        <v>28</v>
      </c>
      <c r="G7" s="12">
        <v>2025.0</v>
      </c>
      <c r="H7" s="14" t="str">
        <f t="shared" ref="H7:H10" si="1">IF(I7&lt;&gt;"","✓","")</f>
        <v>✓</v>
      </c>
      <c r="I7" s="16">
        <v>2025.0</v>
      </c>
      <c r="J7" s="13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23</v>
      </c>
      <c r="D8" s="13" t="s">
        <v>31</v>
      </c>
      <c r="E8" s="12" t="s">
        <v>33</v>
      </c>
      <c r="F8" s="12" t="s">
        <v>35</v>
      </c>
      <c r="G8" s="12">
        <v>2025.0</v>
      </c>
      <c r="H8" s="14" t="str">
        <f t="shared" si="1"/>
        <v/>
      </c>
      <c r="I8" s="15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23</v>
      </c>
      <c r="D9" s="13" t="s">
        <v>45</v>
      </c>
      <c r="E9" s="12">
        <v>1.50602410752004E15</v>
      </c>
      <c r="F9" s="12" t="s">
        <v>50</v>
      </c>
      <c r="G9" s="12">
        <v>2025.0</v>
      </c>
      <c r="H9" s="14" t="str">
        <f t="shared" si="1"/>
        <v>✓</v>
      </c>
      <c r="I9" s="16">
        <v>2025.0</v>
      </c>
      <c r="J9" s="13">
        <v>1.0</v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56</v>
      </c>
      <c r="D10" s="13" t="s">
        <v>59</v>
      </c>
      <c r="E10" s="13" t="s">
        <v>61</v>
      </c>
      <c r="F10" s="13" t="s">
        <v>63</v>
      </c>
      <c r="G10" s="17"/>
      <c r="H10" s="14" t="str">
        <f t="shared" si="1"/>
        <v>✓</v>
      </c>
      <c r="I10" s="16">
        <v>2025.0</v>
      </c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6.38"/>
    <col customWidth="1" min="4" max="4" width="23.13"/>
    <col customWidth="1" min="5" max="5" width="19.88"/>
    <col customWidth="1" min="6" max="6" width="27.5"/>
    <col customWidth="1" min="8" max="8" width="6.13"/>
    <col customWidth="1" min="9" max="9" width="9.38"/>
    <col customWidth="1" min="10" max="10" width="6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3" t="s">
        <v>17</v>
      </c>
      <c r="E7" s="12" t="s">
        <v>19</v>
      </c>
      <c r="F7" s="12" t="s">
        <v>20</v>
      </c>
      <c r="G7" s="12">
        <v>2025.0</v>
      </c>
      <c r="H7" s="14" t="str">
        <f t="shared" ref="H7:H19" si="1">IF(I7&lt;&gt;"","✓","")</f>
        <v>✓</v>
      </c>
      <c r="I7" s="16">
        <v>2025.0</v>
      </c>
      <c r="J7" s="13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3" t="s">
        <v>32</v>
      </c>
      <c r="E8" s="12" t="s">
        <v>34</v>
      </c>
      <c r="F8" s="12" t="s">
        <v>37</v>
      </c>
      <c r="G8" s="12">
        <v>2025.0</v>
      </c>
      <c r="H8" s="14" t="str">
        <f t="shared" si="1"/>
        <v/>
      </c>
      <c r="I8" s="15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3" t="s">
        <v>43</v>
      </c>
      <c r="E9" s="12" t="s">
        <v>46</v>
      </c>
      <c r="F9" s="12" t="s">
        <v>48</v>
      </c>
      <c r="G9" s="12">
        <v>2025.0</v>
      </c>
      <c r="H9" s="14" t="str">
        <f t="shared" si="1"/>
        <v/>
      </c>
      <c r="I9" s="15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3" t="s">
        <v>55</v>
      </c>
      <c r="E10" s="12" t="s">
        <v>58</v>
      </c>
      <c r="F10" s="12" t="s">
        <v>60</v>
      </c>
      <c r="G10" s="12">
        <v>2025.0</v>
      </c>
      <c r="H10" s="14" t="str">
        <f t="shared" si="1"/>
        <v>✓</v>
      </c>
      <c r="I10" s="16">
        <v>2025.0</v>
      </c>
      <c r="J10" s="13">
        <v>1.0</v>
      </c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3" t="s">
        <v>66</v>
      </c>
      <c r="E11" s="12" t="s">
        <v>68</v>
      </c>
      <c r="F11" s="12" t="s">
        <v>20</v>
      </c>
      <c r="G11" s="12">
        <v>2025.0</v>
      </c>
      <c r="H11" s="14" t="str">
        <f t="shared" si="1"/>
        <v/>
      </c>
      <c r="I11" s="15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</v>
      </c>
      <c r="D12" s="13" t="s">
        <v>71</v>
      </c>
      <c r="E12" s="12" t="s">
        <v>73</v>
      </c>
      <c r="F12" s="12" t="s">
        <v>60</v>
      </c>
      <c r="G12" s="12">
        <v>2025.0</v>
      </c>
      <c r="H12" s="14" t="str">
        <f t="shared" si="1"/>
        <v>✓</v>
      </c>
      <c r="I12" s="16">
        <v>2025.0</v>
      </c>
      <c r="J12" s="13">
        <v>1.0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3" t="s">
        <v>79</v>
      </c>
      <c r="E13" s="12" t="s">
        <v>81</v>
      </c>
      <c r="F13" s="12" t="s">
        <v>82</v>
      </c>
      <c r="G13" s="12">
        <v>2025.0</v>
      </c>
      <c r="H13" s="14" t="str">
        <f t="shared" si="1"/>
        <v>✓</v>
      </c>
      <c r="I13" s="16">
        <v>2025.0</v>
      </c>
      <c r="J13" s="13">
        <v>1.0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15</v>
      </c>
      <c r="D14" s="13" t="s">
        <v>88</v>
      </c>
      <c r="E14" s="12" t="s">
        <v>89</v>
      </c>
      <c r="F14" s="12" t="s">
        <v>20</v>
      </c>
      <c r="G14" s="12">
        <v>2025.0</v>
      </c>
      <c r="H14" s="14" t="str">
        <f t="shared" si="1"/>
        <v/>
      </c>
      <c r="I14" s="15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3" t="s">
        <v>94</v>
      </c>
      <c r="E15" s="12" t="s">
        <v>95</v>
      </c>
      <c r="F15" s="12" t="s">
        <v>20</v>
      </c>
      <c r="G15" s="12">
        <v>2025.0</v>
      </c>
      <c r="H15" s="14" t="str">
        <f t="shared" si="1"/>
        <v/>
      </c>
      <c r="I15" s="15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15</v>
      </c>
      <c r="D16" s="13" t="s">
        <v>100</v>
      </c>
      <c r="E16" s="12" t="s">
        <v>101</v>
      </c>
      <c r="F16" s="12" t="s">
        <v>102</v>
      </c>
      <c r="G16" s="12">
        <v>2025.0</v>
      </c>
      <c r="H16" s="14" t="str">
        <f t="shared" si="1"/>
        <v>✓</v>
      </c>
      <c r="I16" s="16">
        <v>2025.0</v>
      </c>
      <c r="J16" s="13">
        <v>1.0</v>
      </c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15</v>
      </c>
      <c r="D17" s="13" t="s">
        <v>107</v>
      </c>
      <c r="E17" s="12" t="s">
        <v>108</v>
      </c>
      <c r="F17" s="12" t="s">
        <v>102</v>
      </c>
      <c r="G17" s="12">
        <v>2025.0</v>
      </c>
      <c r="H17" s="14" t="str">
        <f t="shared" si="1"/>
        <v/>
      </c>
      <c r="I17" s="15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15</v>
      </c>
      <c r="D18" s="13" t="s">
        <v>112</v>
      </c>
      <c r="E18" s="12" t="s">
        <v>113</v>
      </c>
      <c r="F18" s="12" t="s">
        <v>82</v>
      </c>
      <c r="G18" s="12">
        <v>2025.0</v>
      </c>
      <c r="H18" s="14" t="str">
        <f t="shared" si="1"/>
        <v/>
      </c>
      <c r="I18" s="15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15</v>
      </c>
      <c r="D19" s="13" t="s">
        <v>116</v>
      </c>
      <c r="E19" s="12" t="s">
        <v>117</v>
      </c>
      <c r="F19" s="12" t="s">
        <v>20</v>
      </c>
      <c r="G19" s="12">
        <v>2025.0</v>
      </c>
      <c r="H19" s="14" t="str">
        <f t="shared" si="1"/>
        <v/>
      </c>
      <c r="I19" s="15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6.38"/>
    <col customWidth="1" min="4" max="4" width="23.13"/>
    <col customWidth="1" min="5" max="5" width="19.88"/>
    <col customWidth="1" min="6" max="6" width="27.5"/>
    <col customWidth="1" min="8" max="8" width="6.13"/>
    <col customWidth="1" min="9" max="9" width="9.38"/>
    <col customWidth="1" min="10" max="10" width="6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131</v>
      </c>
      <c r="D7" s="13" t="s">
        <v>132</v>
      </c>
      <c r="E7" s="12" t="s">
        <v>133</v>
      </c>
      <c r="F7" s="12" t="s">
        <v>134</v>
      </c>
      <c r="G7" s="12">
        <v>2025.0</v>
      </c>
      <c r="H7" s="14" t="str">
        <f t="shared" ref="H7:H22" si="1">IF(I7&lt;&gt;"","✓","")</f>
        <v>✓</v>
      </c>
      <c r="I7" s="16">
        <v>2025.0</v>
      </c>
      <c r="J7" s="13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131</v>
      </c>
      <c r="D8" s="13" t="s">
        <v>135</v>
      </c>
      <c r="E8" s="12" t="s">
        <v>136</v>
      </c>
      <c r="F8" s="12" t="s">
        <v>137</v>
      </c>
      <c r="G8" s="12">
        <v>2025.0</v>
      </c>
      <c r="H8" s="14" t="str">
        <f t="shared" si="1"/>
        <v>✓</v>
      </c>
      <c r="I8" s="16">
        <v>2025.0</v>
      </c>
      <c r="J8" s="13">
        <v>1.0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131</v>
      </c>
      <c r="D9" s="13" t="s">
        <v>138</v>
      </c>
      <c r="E9" s="12" t="s">
        <v>139</v>
      </c>
      <c r="F9" s="12" t="s">
        <v>137</v>
      </c>
      <c r="G9" s="12">
        <v>2025.0</v>
      </c>
      <c r="H9" s="14" t="str">
        <f t="shared" si="1"/>
        <v>✓</v>
      </c>
      <c r="I9" s="16">
        <v>2025.0</v>
      </c>
      <c r="J9" s="13">
        <v>1.0</v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131</v>
      </c>
      <c r="D10" s="13" t="s">
        <v>140</v>
      </c>
      <c r="E10" s="12" t="s">
        <v>141</v>
      </c>
      <c r="F10" s="12" t="s">
        <v>137</v>
      </c>
      <c r="G10" s="12">
        <v>2025.0</v>
      </c>
      <c r="H10" s="14" t="str">
        <f t="shared" si="1"/>
        <v>✓</v>
      </c>
      <c r="I10" s="16">
        <v>2025.0</v>
      </c>
      <c r="J10" s="13">
        <v>1.0</v>
      </c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131</v>
      </c>
      <c r="D11" s="13" t="s">
        <v>142</v>
      </c>
      <c r="E11" s="12" t="s">
        <v>143</v>
      </c>
      <c r="F11" s="12" t="s">
        <v>137</v>
      </c>
      <c r="G11" s="12">
        <v>2025.0</v>
      </c>
      <c r="H11" s="14" t="str">
        <f t="shared" si="1"/>
        <v>✓</v>
      </c>
      <c r="I11" s="16">
        <v>2025.0</v>
      </c>
      <c r="J11" s="13">
        <v>1.0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131</v>
      </c>
      <c r="D12" s="13" t="s">
        <v>144</v>
      </c>
      <c r="E12" s="12" t="s">
        <v>145</v>
      </c>
      <c r="F12" s="12" t="s">
        <v>146</v>
      </c>
      <c r="G12" s="12">
        <v>2025.0</v>
      </c>
      <c r="H12" s="14" t="str">
        <f t="shared" si="1"/>
        <v>✓</v>
      </c>
      <c r="I12" s="16">
        <v>2025.0</v>
      </c>
      <c r="J12" s="13">
        <v>1.0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131</v>
      </c>
      <c r="D13" s="13" t="s">
        <v>147</v>
      </c>
      <c r="E13" s="12" t="s">
        <v>148</v>
      </c>
      <c r="F13" s="12" t="s">
        <v>149</v>
      </c>
      <c r="G13" s="12">
        <v>2025.0</v>
      </c>
      <c r="H13" s="14" t="str">
        <f t="shared" si="1"/>
        <v>✓</v>
      </c>
      <c r="I13" s="16">
        <v>2025.0</v>
      </c>
      <c r="J13" s="13">
        <v>1.0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131</v>
      </c>
      <c r="D14" s="13" t="s">
        <v>150</v>
      </c>
      <c r="E14" s="12" t="s">
        <v>151</v>
      </c>
      <c r="F14" s="12" t="s">
        <v>134</v>
      </c>
      <c r="G14" s="12">
        <v>2025.0</v>
      </c>
      <c r="H14" s="14" t="str">
        <f t="shared" si="1"/>
        <v>✓</v>
      </c>
      <c r="I14" s="16">
        <v>2025.0</v>
      </c>
      <c r="J14" s="13">
        <v>1.0</v>
      </c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131</v>
      </c>
      <c r="D15" s="13" t="s">
        <v>152</v>
      </c>
      <c r="E15" s="12" t="s">
        <v>153</v>
      </c>
      <c r="F15" s="12" t="s">
        <v>134</v>
      </c>
      <c r="G15" s="12">
        <v>2025.0</v>
      </c>
      <c r="H15" s="14" t="str">
        <f t="shared" si="1"/>
        <v>✓</v>
      </c>
      <c r="I15" s="16">
        <v>2025.0</v>
      </c>
      <c r="J15" s="13">
        <v>1.0</v>
      </c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131</v>
      </c>
      <c r="D16" s="13" t="s">
        <v>120</v>
      </c>
      <c r="E16" s="12" t="s">
        <v>154</v>
      </c>
      <c r="F16" s="12" t="s">
        <v>137</v>
      </c>
      <c r="G16" s="12">
        <v>2025.0</v>
      </c>
      <c r="H16" s="14" t="str">
        <f t="shared" si="1"/>
        <v>✓</v>
      </c>
      <c r="I16" s="16">
        <v>2025.0</v>
      </c>
      <c r="J16" s="13">
        <v>1.0</v>
      </c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131</v>
      </c>
      <c r="D17" s="13" t="s">
        <v>155</v>
      </c>
      <c r="E17" s="12" t="s">
        <v>156</v>
      </c>
      <c r="F17" s="12" t="s">
        <v>137</v>
      </c>
      <c r="G17" s="12">
        <v>2025.0</v>
      </c>
      <c r="H17" s="14" t="str">
        <f t="shared" si="1"/>
        <v>✓</v>
      </c>
      <c r="I17" s="16">
        <v>2025.0</v>
      </c>
      <c r="J17" s="13">
        <v>1.0</v>
      </c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131</v>
      </c>
      <c r="D18" s="13" t="s">
        <v>157</v>
      </c>
      <c r="E18" s="12" t="s">
        <v>158</v>
      </c>
      <c r="F18" s="12" t="s">
        <v>137</v>
      </c>
      <c r="G18" s="12">
        <v>2025.0</v>
      </c>
      <c r="H18" s="14" t="str">
        <f t="shared" si="1"/>
        <v>✓</v>
      </c>
      <c r="I18" s="16">
        <v>2025.0</v>
      </c>
      <c r="J18" s="13">
        <v>1.0</v>
      </c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131</v>
      </c>
      <c r="D19" s="13" t="s">
        <v>159</v>
      </c>
      <c r="E19" s="12" t="s">
        <v>160</v>
      </c>
      <c r="F19" s="12" t="s">
        <v>146</v>
      </c>
      <c r="G19" s="12">
        <v>2025.0</v>
      </c>
      <c r="H19" s="14" t="str">
        <f t="shared" si="1"/>
        <v>✓</v>
      </c>
      <c r="I19" s="16">
        <v>2025.0</v>
      </c>
      <c r="J19" s="13">
        <v>1.0</v>
      </c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131</v>
      </c>
      <c r="D20" s="13" t="s">
        <v>161</v>
      </c>
      <c r="E20" s="12" t="s">
        <v>162</v>
      </c>
      <c r="F20" s="12" t="s">
        <v>146</v>
      </c>
      <c r="G20" s="12">
        <v>2025.0</v>
      </c>
      <c r="H20" s="14" t="str">
        <f t="shared" si="1"/>
        <v>✓</v>
      </c>
      <c r="I20" s="16">
        <v>2025.0</v>
      </c>
      <c r="J20" s="13">
        <v>1.0</v>
      </c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131</v>
      </c>
      <c r="D21" s="13" t="s">
        <v>163</v>
      </c>
      <c r="E21" s="12" t="s">
        <v>164</v>
      </c>
      <c r="F21" s="12" t="s">
        <v>165</v>
      </c>
      <c r="G21" s="12">
        <v>2026.0</v>
      </c>
      <c r="H21" s="14" t="str">
        <f t="shared" si="1"/>
        <v/>
      </c>
      <c r="I21" s="15"/>
      <c r="J21" s="17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131</v>
      </c>
      <c r="D22" s="13" t="s">
        <v>166</v>
      </c>
      <c r="E22" s="12" t="s">
        <v>167</v>
      </c>
      <c r="F22" s="12" t="s">
        <v>168</v>
      </c>
      <c r="G22" s="12">
        <v>2026.0</v>
      </c>
      <c r="H22" s="14" t="str">
        <f t="shared" si="1"/>
        <v/>
      </c>
      <c r="I22" s="15"/>
      <c r="J22" s="17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6.38"/>
    <col customWidth="1" min="4" max="4" width="23.13"/>
    <col customWidth="1" min="5" max="5" width="19.88"/>
    <col customWidth="1" min="6" max="6" width="27.5"/>
    <col customWidth="1" min="8" max="8" width="6.13"/>
    <col customWidth="1" min="9" max="9" width="9.38"/>
    <col customWidth="1" min="10" max="10" width="6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169</v>
      </c>
      <c r="D7" s="13" t="s">
        <v>170</v>
      </c>
      <c r="E7" s="12" t="s">
        <v>171</v>
      </c>
      <c r="F7" s="12" t="s">
        <v>172</v>
      </c>
      <c r="G7" s="12">
        <v>2025.0</v>
      </c>
      <c r="H7" s="14" t="str">
        <f t="shared" ref="H7:H27" si="1">IF(I7&lt;&gt;"","✓","")</f>
        <v>✓</v>
      </c>
      <c r="I7" s="16">
        <v>2025.0</v>
      </c>
      <c r="J7" s="13">
        <v>1.0</v>
      </c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169</v>
      </c>
      <c r="D8" s="13" t="s">
        <v>173</v>
      </c>
      <c r="E8" s="12" t="s">
        <v>174</v>
      </c>
      <c r="F8" s="12" t="s">
        <v>175</v>
      </c>
      <c r="G8" s="12">
        <v>2025.0</v>
      </c>
      <c r="H8" s="14" t="str">
        <f t="shared" si="1"/>
        <v>✓</v>
      </c>
      <c r="I8" s="16">
        <v>2025.0</v>
      </c>
      <c r="J8" s="13">
        <v>1.0</v>
      </c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169</v>
      </c>
      <c r="D9" s="13" t="s">
        <v>176</v>
      </c>
      <c r="E9" s="12" t="s">
        <v>177</v>
      </c>
      <c r="F9" s="12" t="s">
        <v>178</v>
      </c>
      <c r="G9" s="12">
        <v>2025.0</v>
      </c>
      <c r="H9" s="14" t="str">
        <f t="shared" si="1"/>
        <v>✓</v>
      </c>
      <c r="I9" s="16">
        <v>2025.0</v>
      </c>
      <c r="J9" s="13">
        <v>1.0</v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169</v>
      </c>
      <c r="D10" s="13" t="s">
        <v>179</v>
      </c>
      <c r="E10" s="12" t="s">
        <v>180</v>
      </c>
      <c r="F10" s="12" t="s">
        <v>181</v>
      </c>
      <c r="G10" s="12">
        <v>2025.0</v>
      </c>
      <c r="H10" s="14" t="str">
        <f t="shared" si="1"/>
        <v>✓</v>
      </c>
      <c r="I10" s="16">
        <v>2025.0</v>
      </c>
      <c r="J10" s="13">
        <v>1.0</v>
      </c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169</v>
      </c>
      <c r="D11" s="13" t="s">
        <v>182</v>
      </c>
      <c r="E11" s="12" t="s">
        <v>183</v>
      </c>
      <c r="F11" s="12" t="s">
        <v>175</v>
      </c>
      <c r="G11" s="12">
        <v>2025.0</v>
      </c>
      <c r="H11" s="14" t="str">
        <f t="shared" si="1"/>
        <v>✓</v>
      </c>
      <c r="I11" s="16">
        <v>2025.0</v>
      </c>
      <c r="J11" s="13">
        <v>1.0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169</v>
      </c>
      <c r="D12" s="13" t="s">
        <v>184</v>
      </c>
      <c r="E12" s="12" t="s">
        <v>185</v>
      </c>
      <c r="F12" s="12" t="s">
        <v>181</v>
      </c>
      <c r="G12" s="12">
        <v>2025.0</v>
      </c>
      <c r="H12" s="14" t="str">
        <f t="shared" si="1"/>
        <v>✓</v>
      </c>
      <c r="I12" s="16">
        <v>2025.0</v>
      </c>
      <c r="J12" s="13">
        <v>1.0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169</v>
      </c>
      <c r="D13" s="13" t="s">
        <v>186</v>
      </c>
      <c r="E13" s="12" t="s">
        <v>187</v>
      </c>
      <c r="F13" s="12" t="s">
        <v>175</v>
      </c>
      <c r="G13" s="12">
        <v>2025.0</v>
      </c>
      <c r="H13" s="14" t="str">
        <f t="shared" si="1"/>
        <v>✓</v>
      </c>
      <c r="I13" s="16">
        <v>2025.0</v>
      </c>
      <c r="J13" s="13">
        <v>1.0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169</v>
      </c>
      <c r="D14" s="13" t="s">
        <v>188</v>
      </c>
      <c r="E14" s="12" t="s">
        <v>189</v>
      </c>
      <c r="F14" s="12" t="s">
        <v>190</v>
      </c>
      <c r="G14" s="12">
        <v>2025.0</v>
      </c>
      <c r="H14" s="14" t="str">
        <f t="shared" si="1"/>
        <v>✓</v>
      </c>
      <c r="I14" s="16">
        <v>2025.0</v>
      </c>
      <c r="J14" s="13">
        <v>1.0</v>
      </c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169</v>
      </c>
      <c r="D15" s="13" t="s">
        <v>191</v>
      </c>
      <c r="E15" s="12" t="s">
        <v>192</v>
      </c>
      <c r="F15" s="12" t="s">
        <v>175</v>
      </c>
      <c r="G15" s="12">
        <v>2025.0</v>
      </c>
      <c r="H15" s="14" t="str">
        <f t="shared" si="1"/>
        <v>✓</v>
      </c>
      <c r="I15" s="16">
        <v>2025.0</v>
      </c>
      <c r="J15" s="13">
        <v>1.0</v>
      </c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169</v>
      </c>
      <c r="D16" s="13" t="s">
        <v>193</v>
      </c>
      <c r="E16" s="12" t="s">
        <v>194</v>
      </c>
      <c r="F16" s="12" t="s">
        <v>172</v>
      </c>
      <c r="G16" s="12">
        <v>2025.0</v>
      </c>
      <c r="H16" s="14" t="str">
        <f t="shared" si="1"/>
        <v>✓</v>
      </c>
      <c r="I16" s="16">
        <v>2025.0</v>
      </c>
      <c r="J16" s="13">
        <v>1.0</v>
      </c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169</v>
      </c>
      <c r="D17" s="13" t="s">
        <v>195</v>
      </c>
      <c r="E17" s="12" t="s">
        <v>196</v>
      </c>
      <c r="F17" s="12" t="s">
        <v>197</v>
      </c>
      <c r="G17" s="12">
        <v>2025.0</v>
      </c>
      <c r="H17" s="14" t="str">
        <f t="shared" si="1"/>
        <v>✓</v>
      </c>
      <c r="I17" s="16">
        <v>2025.0</v>
      </c>
      <c r="J17" s="13">
        <v>1.0</v>
      </c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169</v>
      </c>
      <c r="D18" s="13" t="s">
        <v>198</v>
      </c>
      <c r="E18" s="12" t="s">
        <v>199</v>
      </c>
      <c r="F18" s="12" t="s">
        <v>200</v>
      </c>
      <c r="G18" s="12">
        <v>2025.0</v>
      </c>
      <c r="H18" s="14" t="str">
        <f t="shared" si="1"/>
        <v>✓</v>
      </c>
      <c r="I18" s="16">
        <v>2025.0</v>
      </c>
      <c r="J18" s="13">
        <v>1.0</v>
      </c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169</v>
      </c>
      <c r="D19" s="13" t="s">
        <v>201</v>
      </c>
      <c r="E19" s="12" t="s">
        <v>202</v>
      </c>
      <c r="F19" s="12" t="s">
        <v>175</v>
      </c>
      <c r="G19" s="12">
        <v>2025.0</v>
      </c>
      <c r="H19" s="14" t="str">
        <f t="shared" si="1"/>
        <v>✓</v>
      </c>
      <c r="I19" s="16">
        <v>2025.0</v>
      </c>
      <c r="J19" s="13">
        <v>1.0</v>
      </c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169</v>
      </c>
      <c r="D20" s="13" t="s">
        <v>203</v>
      </c>
      <c r="E20" s="12" t="s">
        <v>204</v>
      </c>
      <c r="F20" s="12" t="s">
        <v>205</v>
      </c>
      <c r="G20" s="12">
        <v>2025.0</v>
      </c>
      <c r="H20" s="14" t="str">
        <f t="shared" si="1"/>
        <v>✓</v>
      </c>
      <c r="I20" s="16">
        <v>2025.0</v>
      </c>
      <c r="J20" s="13">
        <v>1.0</v>
      </c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169</v>
      </c>
      <c r="D21" s="13" t="s">
        <v>206</v>
      </c>
      <c r="E21" s="12" t="s">
        <v>207</v>
      </c>
      <c r="F21" s="12" t="s">
        <v>205</v>
      </c>
      <c r="G21" s="12">
        <v>2025.0</v>
      </c>
      <c r="H21" s="14" t="str">
        <f t="shared" si="1"/>
        <v>✓</v>
      </c>
      <c r="I21" s="16">
        <v>2025.0</v>
      </c>
      <c r="J21" s="13">
        <v>1.0</v>
      </c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169</v>
      </c>
      <c r="D22" s="13" t="s">
        <v>208</v>
      </c>
      <c r="E22" s="12" t="s">
        <v>209</v>
      </c>
      <c r="F22" s="12" t="s">
        <v>190</v>
      </c>
      <c r="G22" s="12">
        <v>2025.0</v>
      </c>
      <c r="H22" s="14" t="str">
        <f t="shared" si="1"/>
        <v>✓</v>
      </c>
      <c r="I22" s="16">
        <v>2025.0</v>
      </c>
      <c r="J22" s="13">
        <v>1.0</v>
      </c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169</v>
      </c>
      <c r="D23" s="13" t="s">
        <v>208</v>
      </c>
      <c r="E23" s="12" t="s">
        <v>211</v>
      </c>
      <c r="F23" s="12" t="s">
        <v>190</v>
      </c>
      <c r="G23" s="12">
        <v>2025.0</v>
      </c>
      <c r="H23" s="14" t="str">
        <f t="shared" si="1"/>
        <v/>
      </c>
      <c r="I23" s="15"/>
      <c r="J23" s="17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169</v>
      </c>
      <c r="D24" s="13" t="s">
        <v>91</v>
      </c>
      <c r="E24" s="12" t="s">
        <v>215</v>
      </c>
      <c r="F24" s="12" t="s">
        <v>175</v>
      </c>
      <c r="G24" s="12">
        <v>2025.0</v>
      </c>
      <c r="H24" s="14" t="str">
        <f t="shared" si="1"/>
        <v>✓</v>
      </c>
      <c r="I24" s="16">
        <v>2025.0</v>
      </c>
      <c r="J24" s="13">
        <v>1.0</v>
      </c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169</v>
      </c>
      <c r="D25" s="13" t="s">
        <v>216</v>
      </c>
      <c r="E25" s="12" t="s">
        <v>217</v>
      </c>
      <c r="F25" s="12" t="s">
        <v>197</v>
      </c>
      <c r="G25" s="12">
        <v>2025.0</v>
      </c>
      <c r="H25" s="14" t="str">
        <f t="shared" si="1"/>
        <v>✓</v>
      </c>
      <c r="I25" s="16">
        <v>2025.0</v>
      </c>
      <c r="J25" s="13">
        <v>1.0</v>
      </c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169</v>
      </c>
      <c r="D26" s="13" t="s">
        <v>219</v>
      </c>
      <c r="E26" s="12" t="s">
        <v>221</v>
      </c>
      <c r="F26" s="12" t="s">
        <v>197</v>
      </c>
      <c r="G26" s="12">
        <v>2025.0</v>
      </c>
      <c r="H26" s="14" t="str">
        <f t="shared" si="1"/>
        <v>✓</v>
      </c>
      <c r="I26" s="16">
        <v>2025.0</v>
      </c>
      <c r="J26" s="13">
        <v>1.0</v>
      </c>
      <c r="K26" s="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3" t="s">
        <v>14</v>
      </c>
      <c r="C27" s="13" t="s">
        <v>223</v>
      </c>
      <c r="D27" s="13" t="s">
        <v>224</v>
      </c>
      <c r="E27" s="13" t="s">
        <v>226</v>
      </c>
      <c r="F27" s="13" t="s">
        <v>228</v>
      </c>
      <c r="G27" s="17"/>
      <c r="H27" s="14" t="str">
        <f t="shared" si="1"/>
        <v>✓</v>
      </c>
      <c r="I27" s="16">
        <v>2025.0</v>
      </c>
      <c r="J27" s="17"/>
      <c r="K27" s="1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6.38"/>
    <col customWidth="1" min="4" max="4" width="23.13"/>
    <col customWidth="1" min="5" max="5" width="19.88"/>
    <col customWidth="1" min="6" max="6" width="27.5"/>
    <col customWidth="1" min="8" max="8" width="6.13"/>
    <col customWidth="1" min="9" max="9" width="9.38"/>
    <col customWidth="1" min="10" max="10" width="6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210</v>
      </c>
      <c r="D7" s="13" t="s">
        <v>212</v>
      </c>
      <c r="E7" s="12" t="s">
        <v>213</v>
      </c>
      <c r="F7" s="12" t="s">
        <v>214</v>
      </c>
      <c r="G7" s="12">
        <v>2026.0</v>
      </c>
      <c r="H7" s="14" t="str">
        <f t="shared" ref="H7:H18" si="1">IF(I7&lt;&gt;"","✓","")</f>
        <v/>
      </c>
      <c r="I7" s="15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210</v>
      </c>
      <c r="D8" s="13" t="s">
        <v>218</v>
      </c>
      <c r="E8" s="12" t="s">
        <v>220</v>
      </c>
      <c r="F8" s="12" t="s">
        <v>222</v>
      </c>
      <c r="G8" s="12">
        <v>2026.0</v>
      </c>
      <c r="H8" s="14" t="str">
        <f t="shared" si="1"/>
        <v/>
      </c>
      <c r="I8" s="15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210</v>
      </c>
      <c r="D9" s="13" t="s">
        <v>225</v>
      </c>
      <c r="E9" s="12" t="s">
        <v>227</v>
      </c>
      <c r="F9" s="12" t="s">
        <v>229</v>
      </c>
      <c r="G9" s="12">
        <v>2026.0</v>
      </c>
      <c r="H9" s="14" t="str">
        <f t="shared" si="1"/>
        <v/>
      </c>
      <c r="I9" s="15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210</v>
      </c>
      <c r="D10" s="13" t="s">
        <v>135</v>
      </c>
      <c r="E10" s="12" t="s">
        <v>232</v>
      </c>
      <c r="F10" s="12" t="s">
        <v>233</v>
      </c>
      <c r="G10" s="12">
        <v>2026.0</v>
      </c>
      <c r="H10" s="14" t="str">
        <f t="shared" si="1"/>
        <v/>
      </c>
      <c r="I10" s="15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210</v>
      </c>
      <c r="D11" s="13" t="s">
        <v>235</v>
      </c>
      <c r="E11" s="12" t="s">
        <v>236</v>
      </c>
      <c r="F11" s="12" t="s">
        <v>233</v>
      </c>
      <c r="G11" s="12">
        <v>2026.0</v>
      </c>
      <c r="H11" s="14" t="str">
        <f t="shared" si="1"/>
        <v/>
      </c>
      <c r="I11" s="15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210</v>
      </c>
      <c r="D12" s="13" t="s">
        <v>237</v>
      </c>
      <c r="E12" s="12" t="s">
        <v>238</v>
      </c>
      <c r="F12" s="12" t="s">
        <v>222</v>
      </c>
      <c r="G12" s="12">
        <v>2026.0</v>
      </c>
      <c r="H12" s="14" t="str">
        <f t="shared" si="1"/>
        <v/>
      </c>
      <c r="I12" s="15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210</v>
      </c>
      <c r="D13" s="13" t="s">
        <v>105</v>
      </c>
      <c r="E13" s="12" t="s">
        <v>239</v>
      </c>
      <c r="F13" s="12" t="s">
        <v>233</v>
      </c>
      <c r="G13" s="12">
        <v>2026.0</v>
      </c>
      <c r="H13" s="14" t="str">
        <f t="shared" si="1"/>
        <v/>
      </c>
      <c r="I13" s="15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210</v>
      </c>
      <c r="D14" s="13" t="s">
        <v>105</v>
      </c>
      <c r="E14" s="12" t="s">
        <v>243</v>
      </c>
      <c r="F14" s="12" t="s">
        <v>233</v>
      </c>
      <c r="G14" s="12">
        <v>2026.0</v>
      </c>
      <c r="H14" s="14" t="str">
        <f t="shared" si="1"/>
        <v/>
      </c>
      <c r="I14" s="15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210</v>
      </c>
      <c r="D15" s="13" t="s">
        <v>245</v>
      </c>
      <c r="E15" s="12" t="s">
        <v>247</v>
      </c>
      <c r="F15" s="12" t="s">
        <v>248</v>
      </c>
      <c r="G15" s="12">
        <v>2026.0</v>
      </c>
      <c r="H15" s="14" t="str">
        <f t="shared" si="1"/>
        <v/>
      </c>
      <c r="I15" s="15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210</v>
      </c>
      <c r="D16" s="13" t="s">
        <v>250</v>
      </c>
      <c r="E16" s="12" t="s">
        <v>252</v>
      </c>
      <c r="F16" s="12" t="s">
        <v>254</v>
      </c>
      <c r="G16" s="12">
        <v>2026.0</v>
      </c>
      <c r="H16" s="14" t="str">
        <f t="shared" si="1"/>
        <v/>
      </c>
      <c r="I16" s="15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210</v>
      </c>
      <c r="D17" s="13" t="s">
        <v>256</v>
      </c>
      <c r="E17" s="12" t="s">
        <v>258</v>
      </c>
      <c r="F17" s="12" t="s">
        <v>214</v>
      </c>
      <c r="G17" s="12">
        <v>2026.0</v>
      </c>
      <c r="H17" s="14" t="str">
        <f t="shared" si="1"/>
        <v/>
      </c>
      <c r="I17" s="15"/>
      <c r="J17" s="17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210</v>
      </c>
      <c r="D18" s="13" t="s">
        <v>91</v>
      </c>
      <c r="E18" s="12" t="s">
        <v>261</v>
      </c>
      <c r="F18" s="12" t="s">
        <v>254</v>
      </c>
      <c r="G18" s="12">
        <v>2026.0</v>
      </c>
      <c r="H18" s="14" t="str">
        <f t="shared" si="1"/>
        <v/>
      </c>
      <c r="I18" s="15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1.13"/>
    <col customWidth="1" min="4" max="4" width="21.0"/>
    <col customWidth="1" min="5" max="5" width="23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230</v>
      </c>
      <c r="D7" s="13" t="s">
        <v>231</v>
      </c>
      <c r="E7" s="12">
        <v>1.50603050796001E15</v>
      </c>
      <c r="F7" s="19" t="s">
        <v>234</v>
      </c>
      <c r="G7" s="12">
        <v>2026.0</v>
      </c>
      <c r="H7" s="14" t="str">
        <f t="shared" ref="H7:H16" si="1">IF(I7&lt;&gt;"","✓","")</f>
        <v/>
      </c>
      <c r="I7" s="15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230</v>
      </c>
      <c r="D8" s="13" t="s">
        <v>240</v>
      </c>
      <c r="E8" s="12" t="s">
        <v>241</v>
      </c>
      <c r="F8" s="12" t="s">
        <v>242</v>
      </c>
      <c r="G8" s="12">
        <v>2026.0</v>
      </c>
      <c r="H8" s="14" t="str">
        <f t="shared" si="1"/>
        <v/>
      </c>
      <c r="I8" s="15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230</v>
      </c>
      <c r="D9" s="13" t="s">
        <v>244</v>
      </c>
      <c r="E9" s="12" t="s">
        <v>246</v>
      </c>
      <c r="F9" s="19" t="s">
        <v>249</v>
      </c>
      <c r="G9" s="12">
        <v>2026.0</v>
      </c>
      <c r="H9" s="14" t="str">
        <f t="shared" si="1"/>
        <v/>
      </c>
      <c r="I9" s="15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230</v>
      </c>
      <c r="D10" s="13" t="s">
        <v>251</v>
      </c>
      <c r="E10" s="12" t="s">
        <v>253</v>
      </c>
      <c r="F10" s="19" t="s">
        <v>255</v>
      </c>
      <c r="G10" s="12">
        <v>2026.0</v>
      </c>
      <c r="H10" s="14" t="str">
        <f t="shared" si="1"/>
        <v/>
      </c>
      <c r="I10" s="15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230</v>
      </c>
      <c r="D11" s="13" t="s">
        <v>257</v>
      </c>
      <c r="E11" s="12" t="s">
        <v>259</v>
      </c>
      <c r="F11" s="19" t="s">
        <v>249</v>
      </c>
      <c r="G11" s="12">
        <v>2026.0</v>
      </c>
      <c r="H11" s="14" t="str">
        <f t="shared" si="1"/>
        <v/>
      </c>
      <c r="I11" s="15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230</v>
      </c>
      <c r="D12" s="13" t="s">
        <v>260</v>
      </c>
      <c r="E12" s="12" t="s">
        <v>262</v>
      </c>
      <c r="F12" s="19" t="s">
        <v>263</v>
      </c>
      <c r="G12" s="12">
        <v>2026.0</v>
      </c>
      <c r="H12" s="14" t="str">
        <f t="shared" si="1"/>
        <v/>
      </c>
      <c r="I12" s="15"/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230</v>
      </c>
      <c r="D13" s="13" t="s">
        <v>264</v>
      </c>
      <c r="E13" s="12" t="s">
        <v>265</v>
      </c>
      <c r="F13" s="12" t="s">
        <v>266</v>
      </c>
      <c r="G13" s="12">
        <v>2026.0</v>
      </c>
      <c r="H13" s="14" t="str">
        <f t="shared" si="1"/>
        <v/>
      </c>
      <c r="I13" s="15"/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230</v>
      </c>
      <c r="D14" s="13" t="s">
        <v>267</v>
      </c>
      <c r="E14" s="12" t="s">
        <v>268</v>
      </c>
      <c r="F14" s="19" t="s">
        <v>269</v>
      </c>
      <c r="G14" s="12">
        <v>2026.0</v>
      </c>
      <c r="H14" s="14" t="str">
        <f t="shared" si="1"/>
        <v/>
      </c>
      <c r="I14" s="15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230</v>
      </c>
      <c r="D15" s="13" t="s">
        <v>208</v>
      </c>
      <c r="E15" s="12" t="s">
        <v>270</v>
      </c>
      <c r="F15" s="19" t="s">
        <v>271</v>
      </c>
      <c r="G15" s="12">
        <v>2026.0</v>
      </c>
      <c r="H15" s="14" t="str">
        <f t="shared" si="1"/>
        <v/>
      </c>
      <c r="I15" s="15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230</v>
      </c>
      <c r="D16" s="13" t="s">
        <v>272</v>
      </c>
      <c r="E16" s="12" t="s">
        <v>273</v>
      </c>
      <c r="F16" s="19" t="s">
        <v>249</v>
      </c>
      <c r="G16" s="12">
        <v>2026.0</v>
      </c>
      <c r="H16" s="14" t="str">
        <f t="shared" si="1"/>
        <v/>
      </c>
      <c r="I16" s="15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</sheetData>
  <mergeCells count="4">
    <mergeCell ref="A1:K1"/>
    <mergeCell ref="A2:K2"/>
    <mergeCell ref="A3:K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1.63"/>
    <col customWidth="1" min="4" max="5" width="23.75"/>
    <col customWidth="1" min="6" max="7" width="26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20" t="s">
        <v>14</v>
      </c>
      <c r="C7" s="20" t="s">
        <v>274</v>
      </c>
      <c r="D7" s="20" t="s">
        <v>275</v>
      </c>
      <c r="E7" s="20" t="s">
        <v>276</v>
      </c>
      <c r="F7" s="20" t="s">
        <v>277</v>
      </c>
      <c r="G7" s="20">
        <v>2026.0</v>
      </c>
      <c r="H7" s="14" t="str">
        <f t="shared" ref="H7:H25" si="1">IF(I7&lt;&gt;"","✓","")</f>
        <v/>
      </c>
      <c r="I7" s="21"/>
      <c r="J7" s="21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20" t="s">
        <v>14</v>
      </c>
      <c r="C8" s="20" t="s">
        <v>274</v>
      </c>
      <c r="D8" s="20" t="s">
        <v>278</v>
      </c>
      <c r="E8" s="20" t="s">
        <v>279</v>
      </c>
      <c r="F8" s="20" t="s">
        <v>280</v>
      </c>
      <c r="G8" s="20">
        <v>2026.0</v>
      </c>
      <c r="H8" s="14" t="str">
        <f t="shared" si="1"/>
        <v/>
      </c>
      <c r="I8" s="21"/>
      <c r="J8" s="21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20" t="s">
        <v>14</v>
      </c>
      <c r="C9" s="20" t="s">
        <v>274</v>
      </c>
      <c r="D9" s="20" t="s">
        <v>281</v>
      </c>
      <c r="E9" s="20" t="s">
        <v>282</v>
      </c>
      <c r="F9" s="20" t="s">
        <v>280</v>
      </c>
      <c r="G9" s="20">
        <v>2026.0</v>
      </c>
      <c r="H9" s="14" t="str">
        <f t="shared" si="1"/>
        <v/>
      </c>
      <c r="I9" s="21"/>
      <c r="J9" s="21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20" t="s">
        <v>14</v>
      </c>
      <c r="C10" s="20" t="s">
        <v>274</v>
      </c>
      <c r="D10" s="20" t="s">
        <v>283</v>
      </c>
      <c r="E10" s="20" t="s">
        <v>284</v>
      </c>
      <c r="F10" s="20" t="s">
        <v>285</v>
      </c>
      <c r="G10" s="20">
        <v>2026.0</v>
      </c>
      <c r="H10" s="14" t="str">
        <f t="shared" si="1"/>
        <v/>
      </c>
      <c r="I10" s="21"/>
      <c r="J10" s="21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20" t="s">
        <v>14</v>
      </c>
      <c r="C11" s="20" t="s">
        <v>274</v>
      </c>
      <c r="D11" s="20" t="s">
        <v>286</v>
      </c>
      <c r="E11" s="20" t="s">
        <v>287</v>
      </c>
      <c r="F11" s="20" t="s">
        <v>285</v>
      </c>
      <c r="G11" s="20">
        <v>2026.0</v>
      </c>
      <c r="H11" s="14" t="str">
        <f t="shared" si="1"/>
        <v/>
      </c>
      <c r="I11" s="21"/>
      <c r="J11" s="21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20" t="s">
        <v>14</v>
      </c>
      <c r="C12" s="20" t="s">
        <v>274</v>
      </c>
      <c r="D12" s="20" t="s">
        <v>288</v>
      </c>
      <c r="E12" s="20" t="s">
        <v>289</v>
      </c>
      <c r="F12" s="20" t="s">
        <v>285</v>
      </c>
      <c r="G12" s="20">
        <v>2026.0</v>
      </c>
      <c r="H12" s="14" t="str">
        <f t="shared" si="1"/>
        <v/>
      </c>
      <c r="I12" s="21"/>
      <c r="J12" s="21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20" t="s">
        <v>14</v>
      </c>
      <c r="C13" s="20" t="s">
        <v>274</v>
      </c>
      <c r="D13" s="20" t="s">
        <v>290</v>
      </c>
      <c r="E13" s="20" t="s">
        <v>291</v>
      </c>
      <c r="F13" s="20" t="s">
        <v>292</v>
      </c>
      <c r="G13" s="20">
        <v>2026.0</v>
      </c>
      <c r="H13" s="14" t="str">
        <f t="shared" si="1"/>
        <v/>
      </c>
      <c r="I13" s="21"/>
      <c r="J13" s="21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20" t="s">
        <v>14</v>
      </c>
      <c r="C14" s="20" t="s">
        <v>274</v>
      </c>
      <c r="D14" s="20" t="s">
        <v>293</v>
      </c>
      <c r="E14" s="20" t="s">
        <v>294</v>
      </c>
      <c r="F14" s="20" t="s">
        <v>285</v>
      </c>
      <c r="G14" s="20">
        <v>2026.0</v>
      </c>
      <c r="H14" s="14" t="str">
        <f t="shared" si="1"/>
        <v/>
      </c>
      <c r="I14" s="21"/>
      <c r="J14" s="21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20" t="s">
        <v>14</v>
      </c>
      <c r="C15" s="20" t="s">
        <v>274</v>
      </c>
      <c r="D15" s="20" t="s">
        <v>295</v>
      </c>
      <c r="E15" s="20" t="s">
        <v>296</v>
      </c>
      <c r="F15" s="20" t="s">
        <v>285</v>
      </c>
      <c r="G15" s="20">
        <v>2026.0</v>
      </c>
      <c r="H15" s="14" t="str">
        <f t="shared" si="1"/>
        <v/>
      </c>
      <c r="I15" s="21"/>
      <c r="J15" s="21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20" t="s">
        <v>14</v>
      </c>
      <c r="C16" s="20" t="s">
        <v>274</v>
      </c>
      <c r="D16" s="20" t="s">
        <v>297</v>
      </c>
      <c r="E16" s="20" t="s">
        <v>298</v>
      </c>
      <c r="F16" s="20" t="s">
        <v>285</v>
      </c>
      <c r="G16" s="20">
        <v>2026.0</v>
      </c>
      <c r="H16" s="14" t="str">
        <f t="shared" si="1"/>
        <v/>
      </c>
      <c r="I16" s="21"/>
      <c r="J16" s="21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20" t="s">
        <v>14</v>
      </c>
      <c r="C17" s="20" t="s">
        <v>274</v>
      </c>
      <c r="D17" s="20" t="s">
        <v>299</v>
      </c>
      <c r="E17" s="20" t="s">
        <v>300</v>
      </c>
      <c r="F17" s="20" t="s">
        <v>301</v>
      </c>
      <c r="G17" s="20">
        <v>2026.0</v>
      </c>
      <c r="H17" s="14" t="str">
        <f t="shared" si="1"/>
        <v/>
      </c>
      <c r="I17" s="21"/>
      <c r="J17" s="21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20" t="s">
        <v>14</v>
      </c>
      <c r="C18" s="20" t="s">
        <v>274</v>
      </c>
      <c r="D18" s="20" t="s">
        <v>302</v>
      </c>
      <c r="E18" s="20" t="s">
        <v>303</v>
      </c>
      <c r="F18" s="20" t="s">
        <v>304</v>
      </c>
      <c r="G18" s="20">
        <v>2026.0</v>
      </c>
      <c r="H18" s="14" t="str">
        <f t="shared" si="1"/>
        <v/>
      </c>
      <c r="I18" s="21"/>
      <c r="J18" s="21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20" t="s">
        <v>14</v>
      </c>
      <c r="C19" s="20" t="s">
        <v>274</v>
      </c>
      <c r="D19" s="20" t="s">
        <v>305</v>
      </c>
      <c r="E19" s="20" t="s">
        <v>306</v>
      </c>
      <c r="F19" s="20" t="s">
        <v>280</v>
      </c>
      <c r="G19" s="20">
        <v>2026.0</v>
      </c>
      <c r="H19" s="14" t="str">
        <f t="shared" si="1"/>
        <v/>
      </c>
      <c r="I19" s="21"/>
      <c r="J19" s="21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20" t="s">
        <v>14</v>
      </c>
      <c r="C20" s="20" t="s">
        <v>274</v>
      </c>
      <c r="D20" s="20" t="s">
        <v>307</v>
      </c>
      <c r="E20" s="20" t="s">
        <v>308</v>
      </c>
      <c r="F20" s="20" t="s">
        <v>309</v>
      </c>
      <c r="G20" s="20">
        <v>2026.0</v>
      </c>
      <c r="H20" s="14" t="str">
        <f t="shared" si="1"/>
        <v/>
      </c>
      <c r="I20" s="21"/>
      <c r="J20" s="21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20" t="s">
        <v>14</v>
      </c>
      <c r="C21" s="20" t="s">
        <v>274</v>
      </c>
      <c r="D21" s="20" t="s">
        <v>310</v>
      </c>
      <c r="E21" s="20" t="s">
        <v>311</v>
      </c>
      <c r="F21" s="20" t="s">
        <v>277</v>
      </c>
      <c r="G21" s="20">
        <v>2026.0</v>
      </c>
      <c r="H21" s="14" t="str">
        <f t="shared" si="1"/>
        <v/>
      </c>
      <c r="I21" s="21"/>
      <c r="J21" s="21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20" t="s">
        <v>14</v>
      </c>
      <c r="C22" s="20" t="s">
        <v>274</v>
      </c>
      <c r="D22" s="20" t="s">
        <v>312</v>
      </c>
      <c r="E22" s="20" t="s">
        <v>313</v>
      </c>
      <c r="F22" s="20" t="s">
        <v>301</v>
      </c>
      <c r="G22" s="20">
        <v>2026.0</v>
      </c>
      <c r="H22" s="14" t="str">
        <f t="shared" si="1"/>
        <v/>
      </c>
      <c r="I22" s="21"/>
      <c r="J22" s="21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20" t="s">
        <v>14</v>
      </c>
      <c r="C23" s="20" t="s">
        <v>274</v>
      </c>
      <c r="D23" s="20" t="s">
        <v>314</v>
      </c>
      <c r="E23" s="20" t="s">
        <v>315</v>
      </c>
      <c r="F23" s="20" t="s">
        <v>309</v>
      </c>
      <c r="G23" s="20">
        <v>2026.0</v>
      </c>
      <c r="H23" s="14" t="str">
        <f t="shared" si="1"/>
        <v/>
      </c>
      <c r="I23" s="21"/>
      <c r="J23" s="21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20" t="s">
        <v>14</v>
      </c>
      <c r="C24" s="20" t="s">
        <v>274</v>
      </c>
      <c r="D24" s="20" t="s">
        <v>316</v>
      </c>
      <c r="E24" s="20" t="s">
        <v>317</v>
      </c>
      <c r="F24" s="20" t="s">
        <v>280</v>
      </c>
      <c r="G24" s="20">
        <v>2026.0</v>
      </c>
      <c r="H24" s="14" t="str">
        <f t="shared" si="1"/>
        <v/>
      </c>
      <c r="I24" s="21"/>
      <c r="J24" s="21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20" t="s">
        <v>14</v>
      </c>
      <c r="C25" s="20" t="s">
        <v>274</v>
      </c>
      <c r="D25" s="20" t="s">
        <v>318</v>
      </c>
      <c r="E25" s="20" t="s">
        <v>319</v>
      </c>
      <c r="F25" s="20" t="s">
        <v>320</v>
      </c>
      <c r="G25" s="20">
        <v>2026.0</v>
      </c>
      <c r="H25" s="14" t="str">
        <f t="shared" si="1"/>
        <v/>
      </c>
      <c r="I25" s="21"/>
      <c r="J25" s="21"/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</sheetData>
  <mergeCells count="4">
    <mergeCell ref="A1:K1"/>
    <mergeCell ref="A2:K2"/>
    <mergeCell ref="A3:K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7.5"/>
    <col customWidth="1" min="4" max="4" width="17.13"/>
    <col customWidth="1" min="5" max="5" width="18.0"/>
    <col customWidth="1" min="6" max="6" width="26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20" t="s">
        <v>14</v>
      </c>
      <c r="C7" s="20" t="s">
        <v>321</v>
      </c>
      <c r="D7" s="20" t="s">
        <v>322</v>
      </c>
      <c r="E7" s="20" t="s">
        <v>323</v>
      </c>
      <c r="F7" s="20" t="s">
        <v>324</v>
      </c>
      <c r="G7" s="20">
        <v>2026.0</v>
      </c>
      <c r="H7" s="14" t="str">
        <f t="shared" ref="H7:H8" si="1">IF(I7&lt;&gt;"","✓","")</f>
        <v/>
      </c>
      <c r="I7" s="21"/>
      <c r="J7" s="21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20" t="s">
        <v>14</v>
      </c>
      <c r="C8" s="20" t="s">
        <v>321</v>
      </c>
      <c r="D8" s="20" t="s">
        <v>325</v>
      </c>
      <c r="E8" s="20" t="s">
        <v>326</v>
      </c>
      <c r="F8" s="20" t="s">
        <v>327</v>
      </c>
      <c r="G8" s="20">
        <v>2026.0</v>
      </c>
      <c r="H8" s="14" t="str">
        <f t="shared" si="1"/>
        <v/>
      </c>
      <c r="I8" s="21"/>
      <c r="J8" s="21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</sheetData>
  <mergeCells count="4">
    <mergeCell ref="A1:K1"/>
    <mergeCell ref="A2:K2"/>
    <mergeCell ref="A3:K3"/>
    <mergeCell ref="H6:I6"/>
  </mergeCells>
  <drawing r:id="rId1"/>
</worksheet>
</file>