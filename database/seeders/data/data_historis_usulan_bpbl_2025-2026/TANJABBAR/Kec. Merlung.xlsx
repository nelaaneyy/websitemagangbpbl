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KIT HARAPAN" sheetId="1" r:id="rId5"/>
    <sheet state="visible" name="KELURAHAN MERLUNG" sheetId="2" r:id="rId6"/>
    <sheet state="visible" name="LUBUK TERAP" sheetId="3" r:id="rId7"/>
    <sheet state="visible" name="MERLUNG" sheetId="4" r:id="rId8"/>
    <sheet state="visible" name="PENYABUNGAN" sheetId="5" r:id="rId9"/>
    <sheet state="visible" name="TANJUNG BERANAK" sheetId="6" r:id="rId10"/>
    <sheet state="visible" name="TANJUNG PAKU" sheetId="7" r:id="rId11"/>
    <sheet state="visible" name="TANJUNG MAKMUR" sheetId="8" r:id="rId12"/>
    <sheet state="visible" name="PINANG GADING" sheetId="9" r:id="rId13"/>
  </sheets>
  <definedNames/>
  <calcPr/>
</workbook>
</file>

<file path=xl/sharedStrings.xml><?xml version="1.0" encoding="utf-8"?>
<sst xmlns="http://schemas.openxmlformats.org/spreadsheetml/2006/main" count="621" uniqueCount="275">
  <si>
    <t>REKAPITULASI USULAN DAN REALISASI PENERIMA BPBL PROVINSI JAMBI</t>
  </si>
  <si>
    <t>MELALUI KEGIATAN PLN (Sumber Dana APBN)</t>
  </si>
  <si>
    <t>TAHUN 2025-2026</t>
  </si>
  <si>
    <t>Kab/Kota</t>
  </si>
  <si>
    <t>: Kabupaten Tanjung Jabung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</si>
  <si>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</si>
  <si>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</si>
  <si>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</si>
  <si>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</si>
  <si>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</si>
  <si>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</si>
  <si>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</si>
  <si>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</si>
  <si>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</si>
  <si>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MERLUNG</t>
  </si>
  <si>
    <t>LUBUK TERAP</t>
  </si>
  <si>
    <t>BUKIT HARAPAN</t>
  </si>
  <si>
    <t>KELURAHAN MERLUNG</t>
  </si>
  <si>
    <t>ERNI</t>
  </si>
  <si>
    <t>BUJANG</t>
  </si>
  <si>
    <t>ASEP SYAHBARI</t>
  </si>
  <si>
    <t>ANALISA</t>
  </si>
  <si>
    <t>1506036607860001</t>
  </si>
  <si>
    <t>RT 02 DUSUN 1</t>
  </si>
  <si>
    <t>1506051306900001</t>
  </si>
  <si>
    <t>1506054107840025</t>
  </si>
  <si>
    <t>1506050107670014</t>
  </si>
  <si>
    <t>JL. JATI RT 04</t>
  </si>
  <si>
    <t>RT. 004 JL. RAJA ERANG</t>
  </si>
  <si>
    <t>JI.AMIR AIDA RT 001</t>
  </si>
  <si>
    <t>JULIANTO</t>
  </si>
  <si>
    <t>1506051507010003</t>
  </si>
  <si>
    <t>EDI RISDIYANTO</t>
  </si>
  <si>
    <t>HERIYANTO</t>
  </si>
  <si>
    <t>DAUD</t>
  </si>
  <si>
    <t>1506050507860002</t>
  </si>
  <si>
    <t>RT 05 DUSUN II</t>
  </si>
  <si>
    <t>1506050202830004</t>
  </si>
  <si>
    <t>1506050311760002</t>
  </si>
  <si>
    <t>JL. TEMBESU RT 11</t>
  </si>
  <si>
    <t>JL. AMIR AIDA RT 06</t>
  </si>
  <si>
    <t>RT. 003 KELURAHAN MERLUNG</t>
  </si>
  <si>
    <t>RAWIYAH</t>
  </si>
  <si>
    <t>1506054807400003</t>
  </si>
  <si>
    <t>IRFAN SAID ELATIF</t>
  </si>
  <si>
    <t>JAYA MARDONI</t>
  </si>
  <si>
    <t>1506051203910001</t>
  </si>
  <si>
    <t>1506051501940001</t>
  </si>
  <si>
    <t>JL. PINUS RT 10</t>
  </si>
  <si>
    <t>JL. DAENG AHMAD RT 007</t>
  </si>
  <si>
    <t>HALIMAH</t>
  </si>
  <si>
    <t>1506054107620034</t>
  </si>
  <si>
    <t>RINGGO SAPUTRA</t>
  </si>
  <si>
    <t>1506010505950002</t>
  </si>
  <si>
    <t>RT 01 DUSUN 1</t>
  </si>
  <si>
    <t>KASMAN</t>
  </si>
  <si>
    <t>KAMSIAH</t>
  </si>
  <si>
    <t>1506053112800005</t>
  </si>
  <si>
    <t>1506130512580001</t>
  </si>
  <si>
    <t>JL. JELUTUNG RT 02</t>
  </si>
  <si>
    <t>JI. AMIR AIDA Rt 06</t>
  </si>
  <si>
    <t>JAMIN</t>
  </si>
  <si>
    <t>1605162507760001</t>
  </si>
  <si>
    <t>M. HANAFI</t>
  </si>
  <si>
    <t>KETEK</t>
  </si>
  <si>
    <t>1506052101890001</t>
  </si>
  <si>
    <t>1506052808670001</t>
  </si>
  <si>
    <t>JL. CENDANA I RT 13</t>
  </si>
  <si>
    <t>JL. ZAIRUH RT 05</t>
  </si>
  <si>
    <t>MASNI</t>
  </si>
  <si>
    <t>1506051210610002</t>
  </si>
  <si>
    <t>M. SYAHRULLAH</t>
  </si>
  <si>
    <t>1506052001930001</t>
  </si>
  <si>
    <t>JI.CENDANA I RT 02</t>
  </si>
  <si>
    <t>MAHTAM</t>
  </si>
  <si>
    <t>PENDI</t>
  </si>
  <si>
    <t>1506050712550002</t>
  </si>
  <si>
    <t>1506050107560014</t>
  </si>
  <si>
    <t>JL. ZAIRUH RT 16</t>
  </si>
  <si>
    <t>SAMSUL ANAM</t>
  </si>
  <si>
    <t>3508060101510004</t>
  </si>
  <si>
    <t>JI. CENDANA I RT 13</t>
  </si>
  <si>
    <t>MARDIONO</t>
  </si>
  <si>
    <t>1506050808820003</t>
  </si>
  <si>
    <t>YANTI</t>
  </si>
  <si>
    <t>JI.MT FACHRUDDIN RT 1</t>
  </si>
  <si>
    <t>150605054107710003</t>
  </si>
  <si>
    <t>SARKUN</t>
  </si>
  <si>
    <t>3323130703730002</t>
  </si>
  <si>
    <t>NURHASANAH</t>
  </si>
  <si>
    <t>1506055506710001</t>
  </si>
  <si>
    <t>JL. RENGAS RT 08</t>
  </si>
  <si>
    <t>JI MT FACHRUDDIN RT 17</t>
  </si>
  <si>
    <t>SUWANTO</t>
  </si>
  <si>
    <t>RAKYAH</t>
  </si>
  <si>
    <t>1209181501800002</t>
  </si>
  <si>
    <t>JL. CENDANA I RT 01</t>
  </si>
  <si>
    <t>Jl. MT FACHRUDDIN RT 11</t>
  </si>
  <si>
    <t>BAYU ANGGRIAWAN A</t>
  </si>
  <si>
    <t>RIZKI NURPITRIANI</t>
  </si>
  <si>
    <t>1506050911980002</t>
  </si>
  <si>
    <t>1506056804960002</t>
  </si>
  <si>
    <t>RT. 06 DUSUN 2</t>
  </si>
  <si>
    <t>JL. ZIAIRUH RT 05</t>
  </si>
  <si>
    <t>SULIAN</t>
  </si>
  <si>
    <t>1506050107670044</t>
  </si>
  <si>
    <t>DEDE SONI NASWIRA</t>
  </si>
  <si>
    <t>JL. SP4 RT21</t>
  </si>
  <si>
    <t>1371112912790005</t>
  </si>
  <si>
    <t>RT. 01 DUSUN 1</t>
  </si>
  <si>
    <t>FARIDAYANI</t>
  </si>
  <si>
    <t>1506055512660001</t>
  </si>
  <si>
    <t>RT. 08 DUSUN 3</t>
  </si>
  <si>
    <t>FRISKA PUTRA</t>
  </si>
  <si>
    <t>1310010202920013</t>
  </si>
  <si>
    <t>RT. 02 DUSUN 1</t>
  </si>
  <si>
    <t>RT.10 DUSUN 3</t>
  </si>
  <si>
    <t>ISMAIL IBRAHIM</t>
  </si>
  <si>
    <t>1506052311680001</t>
  </si>
  <si>
    <t>IYAS</t>
  </si>
  <si>
    <t>1506050807850004</t>
  </si>
  <si>
    <t>RT. 11 DUSUN 3</t>
  </si>
  <si>
    <t>KREDEK</t>
  </si>
  <si>
    <t>1506050706620002</t>
  </si>
  <si>
    <t>RT. 12 DUSUN 2</t>
  </si>
  <si>
    <t>LAMIJAN</t>
  </si>
  <si>
    <t>3523080503550002</t>
  </si>
  <si>
    <t>RT. 04 DUSUN 1</t>
  </si>
  <si>
    <t>MUHAMED SYAHRULLAH</t>
  </si>
  <si>
    <t>MUHAMMAD HANAFI</t>
  </si>
  <si>
    <t>RT.13 DUSUN 1</t>
  </si>
  <si>
    <t>MUHAMMAD ZULKARNAIN</t>
  </si>
  <si>
    <t>1506050601990001</t>
  </si>
  <si>
    <t>MUSRIPAH</t>
  </si>
  <si>
    <t>1504075202630001</t>
  </si>
  <si>
    <t>NURSAM</t>
  </si>
  <si>
    <t>1506051712790002</t>
  </si>
  <si>
    <t>RT. 05 DUSUN 2</t>
  </si>
  <si>
    <t>SITI AISAH</t>
  </si>
  <si>
    <t>1506054405550001</t>
  </si>
  <si>
    <t>SUHARNO</t>
  </si>
  <si>
    <t>1506051305840001</t>
  </si>
  <si>
    <t>RT. 03 DUSUN 1</t>
  </si>
  <si>
    <t>SUPARMAN</t>
  </si>
  <si>
    <t>1219072110910002</t>
  </si>
  <si>
    <t>TONI ISWARA</t>
  </si>
  <si>
    <t>1506051303950001</t>
  </si>
  <si>
    <t>TUKIMIN</t>
  </si>
  <si>
    <t>1506051011630001</t>
  </si>
  <si>
    <t>PENYABUNGAN</t>
  </si>
  <si>
    <t>DEKA</t>
  </si>
  <si>
    <t>1506050406840001</t>
  </si>
  <si>
    <t>RT 006</t>
  </si>
  <si>
    <t>DEWI ARYANI</t>
  </si>
  <si>
    <t>1506054407710004</t>
  </si>
  <si>
    <t>EKO</t>
  </si>
  <si>
    <t>RT. 002</t>
  </si>
  <si>
    <t>GUSTI RANDA</t>
  </si>
  <si>
    <t>1506052408950001</t>
  </si>
  <si>
    <t>RT. 005</t>
  </si>
  <si>
    <t>HARTATI</t>
  </si>
  <si>
    <t>RT. 001</t>
  </si>
  <si>
    <t>IDHA SARI</t>
  </si>
  <si>
    <t>1506055608850003</t>
  </si>
  <si>
    <t>KHAIRUZI</t>
  </si>
  <si>
    <t>1506051009850002</t>
  </si>
  <si>
    <t>RT.006</t>
  </si>
  <si>
    <t>LIDA</t>
  </si>
  <si>
    <t>1506051701770001</t>
  </si>
  <si>
    <t>RT. 003</t>
  </si>
  <si>
    <t>MEGI</t>
  </si>
  <si>
    <t>1506052208860002</t>
  </si>
  <si>
    <t>RT 002</t>
  </si>
  <si>
    <t>MIDUN</t>
  </si>
  <si>
    <t>1506050202900001</t>
  </si>
  <si>
    <t>NARITI</t>
  </si>
  <si>
    <t>1506054107820036</t>
  </si>
  <si>
    <t>RT 001</t>
  </si>
  <si>
    <t>PONDAN</t>
  </si>
  <si>
    <t>1506052109950001</t>
  </si>
  <si>
    <t>PUTRl JELITA</t>
  </si>
  <si>
    <t>1506055004000005</t>
  </si>
  <si>
    <t>RT. 004</t>
  </si>
  <si>
    <t>RIRIN</t>
  </si>
  <si>
    <t>1506054912910004</t>
  </si>
  <si>
    <t>TANJUNG BERANAK</t>
  </si>
  <si>
    <t>TEMON</t>
  </si>
  <si>
    <t>3518054510530001</t>
  </si>
  <si>
    <t>Jl. APEL KECIL</t>
  </si>
  <si>
    <t>ZAINUDIN</t>
  </si>
  <si>
    <t>1506051506540003</t>
  </si>
  <si>
    <t>JL. DELIMA</t>
  </si>
  <si>
    <t>TANJUNGBENANAK</t>
  </si>
  <si>
    <t>ZANUCDIN</t>
  </si>
  <si>
    <t>TANJUNG PAKU</t>
  </si>
  <si>
    <t>ROSTINA</t>
  </si>
  <si>
    <t>1506055005680001</t>
  </si>
  <si>
    <t>RUSTAM</t>
  </si>
  <si>
    <t>SIKRAN</t>
  </si>
  <si>
    <t>1506051910880001</t>
  </si>
  <si>
    <t>SITI DELIMA</t>
  </si>
  <si>
    <t>1506055805780002</t>
  </si>
  <si>
    <t>SUIN</t>
  </si>
  <si>
    <t>1506054107570031</t>
  </si>
  <si>
    <t>RT 003</t>
  </si>
  <si>
    <t>SURIAN</t>
  </si>
  <si>
    <t>1506052504770002</t>
  </si>
  <si>
    <t>SURYA</t>
  </si>
  <si>
    <t>SUTEKNO</t>
  </si>
  <si>
    <t>1506050412730002</t>
  </si>
  <si>
    <t>RT 004</t>
  </si>
  <si>
    <t>TANJUNGPAKU</t>
  </si>
  <si>
    <t>ADRIANUS SAHRI</t>
  </si>
  <si>
    <t>1506052608970002</t>
  </si>
  <si>
    <t>DESA TANJUNG PAKU RT 06</t>
  </si>
  <si>
    <t>M. YUSUF</t>
  </si>
  <si>
    <t>1506051105520002</t>
  </si>
  <si>
    <t>JALAN DESA TANJUNG PAKU RT 03</t>
  </si>
  <si>
    <t>MEGA WATI</t>
  </si>
  <si>
    <t>1506054503820004</t>
  </si>
  <si>
    <t>JALAN DESA TANJUNG PAKU RT 02</t>
  </si>
  <si>
    <t>YORA SUKARSIH</t>
  </si>
  <si>
    <t>1506054308020001</t>
  </si>
  <si>
    <t>JALAN TANJUNG PAKU RT 02</t>
  </si>
  <si>
    <t>TANJUNG MAKMUR</t>
  </si>
  <si>
    <t>TUKIYAT</t>
  </si>
  <si>
    <t>15060502218090003</t>
  </si>
  <si>
    <t>JL.MANGGIS RT 03 DESA TANJUNG MAKMUR</t>
  </si>
  <si>
    <t>ARDI SUSINGGIH</t>
  </si>
  <si>
    <t>1506051405630001</t>
  </si>
  <si>
    <t>JL. MANGGIS RT. 06</t>
  </si>
  <si>
    <t>ARI SANDRA</t>
  </si>
  <si>
    <t>1506050203900002</t>
  </si>
  <si>
    <t>STEVARUS SANTOSO</t>
  </si>
  <si>
    <t>1506052005920003</t>
  </si>
  <si>
    <t>JL. MANGGIS RT. 03</t>
  </si>
  <si>
    <t>SUVARMAN</t>
  </si>
  <si>
    <t>3501091604490003</t>
  </si>
  <si>
    <t>1506050612810001</t>
  </si>
  <si>
    <t>YANUAR LATIF</t>
  </si>
  <si>
    <t>1506050301930001</t>
  </si>
  <si>
    <t>JL. MANGGIS RT. 05</t>
  </si>
  <si>
    <t>PINANG GADING</t>
  </si>
  <si>
    <t>ADE SAPUTRA</t>
  </si>
  <si>
    <t>1506051106900001</t>
  </si>
  <si>
    <t>RT. 07 RW. 03</t>
  </si>
  <si>
    <t>DEDI INDRAWAN</t>
  </si>
  <si>
    <t>1506051706780001</t>
  </si>
  <si>
    <t>RT. 03 RW. 02</t>
  </si>
  <si>
    <t>DENI WIRDANA</t>
  </si>
  <si>
    <t>1506050503900002</t>
  </si>
  <si>
    <t>RT. 05 RW. 02</t>
  </si>
  <si>
    <t>ERWIN LESMANA</t>
  </si>
  <si>
    <t>1210143108930004</t>
  </si>
  <si>
    <t>EWIN JAYA SAPUTRA</t>
  </si>
  <si>
    <t>1210140412980002</t>
  </si>
  <si>
    <t>RT. 04 RW. 03</t>
  </si>
  <si>
    <t>LIP SEPTAHADI</t>
  </si>
  <si>
    <t>1506051508880003</t>
  </si>
  <si>
    <t>RT. 09 RW. 03</t>
  </si>
  <si>
    <t>RIKI SUHENDRI</t>
  </si>
  <si>
    <t>1210081805960001</t>
  </si>
  <si>
    <t>RT. 06 RW. 01</t>
  </si>
  <si>
    <t>SOPANDI</t>
  </si>
  <si>
    <t>1506050504870005</t>
  </si>
  <si>
    <t>RT. 06 RW. 03</t>
  </si>
  <si>
    <t>SRIYONO</t>
  </si>
  <si>
    <t>1506052810760002</t>
  </si>
  <si>
    <t>SUBARI</t>
  </si>
  <si>
    <t>1506050908620001</t>
  </si>
  <si>
    <t>SURAHMAN</t>
  </si>
  <si>
    <t>1506050209900002</t>
  </si>
  <si>
    <t>SUSI SUSANTI</t>
  </si>
  <si>
    <t>1506056405910002</t>
  </si>
  <si>
    <t>RT. 04 RW. 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</si>
</sst>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1.13"/>
    <col customWidth="1" min="5" max="5" width="20.25"/>
    <col customWidth="1" min="6" max="6" width="27.13"/>
    <col customWidth="1" min="8" max="8" width="4.25"/>
    <col customWidth="1" min="9" max="9" width="8.63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16</v>
      </c>
      <c r="D7" s="13" t="s">
        <v>20</v>
      </c>
      <c r="E7" s="12" t="s">
        <v>24</v>
      </c>
      <c r="F7" s="12" t="s">
        <v>27</v>
      </c>
      <c r="G7" s="12">
        <v>2025.0</v>
      </c>
      <c r="H7" s="14" t="str">
        <f t="shared" ref="H7:H36" si="1">IF(I7&lt;&gt;"","✓","")</f>
        <v/>
      </c>
      <c r="I7" s="15"/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16</v>
      </c>
      <c r="D8" s="13" t="s">
        <v>32</v>
      </c>
      <c r="E8" s="12" t="s">
        <v>35</v>
      </c>
      <c r="F8" s="12" t="s">
        <v>39</v>
      </c>
      <c r="G8" s="12">
        <v>2025.0</v>
      </c>
      <c r="H8" s="14" t="str">
        <f t="shared" si="1"/>
        <v/>
      </c>
      <c r="I8" s="15"/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16</v>
      </c>
      <c r="D9" s="13" t="s">
        <v>44</v>
      </c>
      <c r="E9" s="12" t="s">
        <v>46</v>
      </c>
      <c r="F9" s="12" t="s">
        <v>48</v>
      </c>
      <c r="G9" s="12">
        <v>2025.0</v>
      </c>
      <c r="H9" s="14" t="str">
        <f t="shared" si="1"/>
        <v/>
      </c>
      <c r="I9" s="15"/>
      <c r="J9" s="15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16</v>
      </c>
      <c r="D10" s="13" t="s">
        <v>55</v>
      </c>
      <c r="E10" s="12" t="s">
        <v>57</v>
      </c>
      <c r="F10" s="12" t="s">
        <v>59</v>
      </c>
      <c r="G10" s="12">
        <v>2025.0</v>
      </c>
      <c r="H10" s="14" t="str">
        <f t="shared" si="1"/>
        <v/>
      </c>
      <c r="I10" s="15"/>
      <c r="J10" s="15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16</v>
      </c>
      <c r="D11" s="13" t="s">
        <v>63</v>
      </c>
      <c r="E11" s="12" t="s">
        <v>65</v>
      </c>
      <c r="F11" s="12" t="s">
        <v>67</v>
      </c>
      <c r="G11" s="12">
        <v>2025.0</v>
      </c>
      <c r="H11" s="14" t="str">
        <f t="shared" si="1"/>
        <v/>
      </c>
      <c r="I11" s="15"/>
      <c r="J11" s="15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16</v>
      </c>
      <c r="D12" s="13" t="s">
        <v>71</v>
      </c>
      <c r="E12" s="12" t="s">
        <v>72</v>
      </c>
      <c r="F12" s="12" t="s">
        <v>73</v>
      </c>
      <c r="G12" s="12">
        <v>2025.0</v>
      </c>
      <c r="H12" s="14" t="str">
        <f t="shared" si="1"/>
        <v/>
      </c>
      <c r="I12" s="15"/>
      <c r="J12" s="15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16</v>
      </c>
      <c r="D13" s="13" t="s">
        <v>79</v>
      </c>
      <c r="E13" s="12" t="s">
        <v>80</v>
      </c>
      <c r="F13" s="12" t="s">
        <v>81</v>
      </c>
      <c r="G13" s="12">
        <v>2025.0</v>
      </c>
      <c r="H13" s="14" t="str">
        <f t="shared" si="1"/>
        <v/>
      </c>
      <c r="I13" s="15"/>
      <c r="J13" s="15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16</v>
      </c>
      <c r="D14" s="13" t="s">
        <v>87</v>
      </c>
      <c r="E14" s="12" t="s">
        <v>88</v>
      </c>
      <c r="F14" s="12" t="s">
        <v>91</v>
      </c>
      <c r="G14" s="12">
        <v>2025.0</v>
      </c>
      <c r="H14" s="14" t="str">
        <f t="shared" si="1"/>
        <v/>
      </c>
      <c r="I14" s="15"/>
      <c r="J14" s="15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16</v>
      </c>
      <c r="D15" s="13" t="s">
        <v>93</v>
      </c>
      <c r="E15" s="12" t="s">
        <v>95</v>
      </c>
      <c r="F15" s="12" t="s">
        <v>96</v>
      </c>
      <c r="G15" s="12">
        <v>2025.0</v>
      </c>
      <c r="H15" s="14" t="str">
        <f t="shared" si="1"/>
        <v/>
      </c>
      <c r="I15" s="15"/>
      <c r="J15" s="15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16</v>
      </c>
      <c r="D16" s="13" t="s">
        <v>98</v>
      </c>
      <c r="E16" s="12" t="s">
        <v>100</v>
      </c>
      <c r="F16" s="12" t="s">
        <v>102</v>
      </c>
      <c r="G16" s="12">
        <v>2026.0</v>
      </c>
      <c r="H16" s="14" t="str">
        <f t="shared" si="1"/>
        <v/>
      </c>
      <c r="I16" s="15"/>
      <c r="J16" s="15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16</v>
      </c>
      <c r="D17" s="13" t="s">
        <v>106</v>
      </c>
      <c r="E17" s="12" t="s">
        <v>108</v>
      </c>
      <c r="F17" s="12" t="s">
        <v>109</v>
      </c>
      <c r="G17" s="12">
        <v>2026.0</v>
      </c>
      <c r="H17" s="14" t="str">
        <f t="shared" si="1"/>
        <v/>
      </c>
      <c r="I17" s="15"/>
      <c r="J17" s="15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2" t="s">
        <v>14</v>
      </c>
      <c r="C18" s="12" t="s">
        <v>16</v>
      </c>
      <c r="D18" s="13" t="s">
        <v>110</v>
      </c>
      <c r="E18" s="12" t="s">
        <v>111</v>
      </c>
      <c r="F18" s="12" t="s">
        <v>112</v>
      </c>
      <c r="G18" s="12">
        <v>2026.0</v>
      </c>
      <c r="H18" s="14" t="str">
        <f t="shared" si="1"/>
        <v/>
      </c>
      <c r="I18" s="15"/>
      <c r="J18" s="15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2" t="s">
        <v>14</v>
      </c>
      <c r="C19" s="12" t="s">
        <v>16</v>
      </c>
      <c r="D19" s="13" t="s">
        <v>113</v>
      </c>
      <c r="E19" s="12" t="s">
        <v>114</v>
      </c>
      <c r="F19" s="12" t="s">
        <v>115</v>
      </c>
      <c r="G19" s="12">
        <v>2026.0</v>
      </c>
      <c r="H19" s="14" t="str">
        <f t="shared" si="1"/>
        <v/>
      </c>
      <c r="I19" s="15"/>
      <c r="J19" s="15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2" t="s">
        <v>14</v>
      </c>
      <c r="C20" s="12" t="s">
        <v>16</v>
      </c>
      <c r="D20" s="13" t="s">
        <v>44</v>
      </c>
      <c r="E20" s="12" t="s">
        <v>46</v>
      </c>
      <c r="F20" s="12" t="s">
        <v>116</v>
      </c>
      <c r="G20" s="12">
        <v>2026.0</v>
      </c>
      <c r="H20" s="14" t="str">
        <f t="shared" si="1"/>
        <v/>
      </c>
      <c r="I20" s="15"/>
      <c r="J20" s="15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2" t="s">
        <v>14</v>
      </c>
      <c r="C21" s="12" t="s">
        <v>16</v>
      </c>
      <c r="D21" s="13" t="s">
        <v>117</v>
      </c>
      <c r="E21" s="12" t="s">
        <v>118</v>
      </c>
      <c r="F21" s="12" t="s">
        <v>109</v>
      </c>
      <c r="G21" s="12">
        <v>2026.0</v>
      </c>
      <c r="H21" s="14" t="str">
        <f t="shared" si="1"/>
        <v/>
      </c>
      <c r="I21" s="15"/>
      <c r="J21" s="15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2" t="s">
        <v>14</v>
      </c>
      <c r="C22" s="12" t="s">
        <v>16</v>
      </c>
      <c r="D22" s="13" t="s">
        <v>119</v>
      </c>
      <c r="E22" s="12" t="s">
        <v>120</v>
      </c>
      <c r="F22" s="12" t="s">
        <v>121</v>
      </c>
      <c r="G22" s="12">
        <v>2026.0</v>
      </c>
      <c r="H22" s="14" t="str">
        <f t="shared" si="1"/>
        <v/>
      </c>
      <c r="I22" s="15"/>
      <c r="J22" s="15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2" t="s">
        <v>14</v>
      </c>
      <c r="C23" s="12" t="s">
        <v>16</v>
      </c>
      <c r="D23" s="13" t="s">
        <v>122</v>
      </c>
      <c r="E23" s="12" t="s">
        <v>123</v>
      </c>
      <c r="F23" s="12" t="s">
        <v>124</v>
      </c>
      <c r="G23" s="12">
        <v>2026.0</v>
      </c>
      <c r="H23" s="14" t="str">
        <f t="shared" si="1"/>
        <v/>
      </c>
      <c r="I23" s="15"/>
      <c r="J23" s="15"/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2" t="s">
        <v>14</v>
      </c>
      <c r="C24" s="12" t="s">
        <v>16</v>
      </c>
      <c r="D24" s="13" t="s">
        <v>125</v>
      </c>
      <c r="E24" s="12" t="s">
        <v>126</v>
      </c>
      <c r="F24" s="12" t="s">
        <v>127</v>
      </c>
      <c r="G24" s="12">
        <v>2026.0</v>
      </c>
      <c r="H24" s="14" t="str">
        <f t="shared" si="1"/>
        <v/>
      </c>
      <c r="I24" s="15"/>
      <c r="J24" s="15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2" t="s">
        <v>14</v>
      </c>
      <c r="C25" s="12" t="s">
        <v>16</v>
      </c>
      <c r="D25" s="13" t="s">
        <v>128</v>
      </c>
      <c r="E25" s="12" t="s">
        <v>72</v>
      </c>
      <c r="F25" s="12" t="s">
        <v>109</v>
      </c>
      <c r="G25" s="12">
        <v>2026.0</v>
      </c>
      <c r="H25" s="14" t="str">
        <f t="shared" si="1"/>
        <v/>
      </c>
      <c r="I25" s="15"/>
      <c r="J25" s="15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2" t="s">
        <v>14</v>
      </c>
      <c r="C26" s="12" t="s">
        <v>16</v>
      </c>
      <c r="D26" s="13" t="s">
        <v>129</v>
      </c>
      <c r="E26" s="12" t="s">
        <v>65</v>
      </c>
      <c r="F26" s="12" t="s">
        <v>130</v>
      </c>
      <c r="G26" s="12">
        <v>2026.0</v>
      </c>
      <c r="H26" s="14" t="str">
        <f t="shared" si="1"/>
        <v/>
      </c>
      <c r="I26" s="15"/>
      <c r="J26" s="15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2" t="s">
        <v>14</v>
      </c>
      <c r="C27" s="12" t="s">
        <v>16</v>
      </c>
      <c r="D27" s="13" t="s">
        <v>131</v>
      </c>
      <c r="E27" s="12" t="s">
        <v>132</v>
      </c>
      <c r="F27" s="12" t="s">
        <v>115</v>
      </c>
      <c r="G27" s="12">
        <v>2026.0</v>
      </c>
      <c r="H27" s="14" t="str">
        <f t="shared" si="1"/>
        <v/>
      </c>
      <c r="I27" s="15"/>
      <c r="J27" s="15"/>
      <c r="K27" s="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2" t="s">
        <v>14</v>
      </c>
      <c r="C28" s="12" t="s">
        <v>16</v>
      </c>
      <c r="D28" s="13" t="s">
        <v>133</v>
      </c>
      <c r="E28" s="12" t="s">
        <v>134</v>
      </c>
      <c r="F28" s="12" t="s">
        <v>102</v>
      </c>
      <c r="G28" s="12">
        <v>2026.0</v>
      </c>
      <c r="H28" s="14" t="str">
        <f t="shared" si="1"/>
        <v/>
      </c>
      <c r="I28" s="15"/>
      <c r="J28" s="15"/>
      <c r="K28" s="1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2" t="s">
        <v>14</v>
      </c>
      <c r="C29" s="12" t="s">
        <v>16</v>
      </c>
      <c r="D29" s="13" t="s">
        <v>135</v>
      </c>
      <c r="E29" s="12" t="s">
        <v>136</v>
      </c>
      <c r="F29" s="12" t="s">
        <v>137</v>
      </c>
      <c r="G29" s="12">
        <v>2026.0</v>
      </c>
      <c r="H29" s="14" t="str">
        <f t="shared" si="1"/>
        <v/>
      </c>
      <c r="I29" s="15"/>
      <c r="J29" s="15"/>
      <c r="K29" s="1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2" t="s">
        <v>14</v>
      </c>
      <c r="C30" s="12" t="s">
        <v>16</v>
      </c>
      <c r="D30" s="13" t="s">
        <v>87</v>
      </c>
      <c r="E30" s="12" t="s">
        <v>88</v>
      </c>
      <c r="F30" s="12" t="s">
        <v>112</v>
      </c>
      <c r="G30" s="12">
        <v>2026.0</v>
      </c>
      <c r="H30" s="14" t="str">
        <f t="shared" si="1"/>
        <v/>
      </c>
      <c r="I30" s="15"/>
      <c r="J30" s="15"/>
      <c r="K30" s="1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2" t="s">
        <v>14</v>
      </c>
      <c r="C31" s="12" t="s">
        <v>16</v>
      </c>
      <c r="D31" s="13" t="s">
        <v>138</v>
      </c>
      <c r="E31" s="12" t="s">
        <v>139</v>
      </c>
      <c r="F31" s="12" t="s">
        <v>112</v>
      </c>
      <c r="G31" s="12">
        <v>2026.0</v>
      </c>
      <c r="H31" s="14" t="str">
        <f t="shared" si="1"/>
        <v/>
      </c>
      <c r="I31" s="15"/>
      <c r="J31" s="15"/>
      <c r="K31" s="1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1">
        <v>26.0</v>
      </c>
      <c r="B32" s="12" t="s">
        <v>14</v>
      </c>
      <c r="C32" s="12" t="s">
        <v>16</v>
      </c>
      <c r="D32" s="13" t="s">
        <v>140</v>
      </c>
      <c r="E32" s="12" t="s">
        <v>141</v>
      </c>
      <c r="F32" s="12" t="s">
        <v>142</v>
      </c>
      <c r="G32" s="12">
        <v>2026.0</v>
      </c>
      <c r="H32" s="14" t="str">
        <f t="shared" si="1"/>
        <v/>
      </c>
      <c r="I32" s="15"/>
      <c r="J32" s="15"/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1">
        <v>27.0</v>
      </c>
      <c r="B33" s="12" t="s">
        <v>14</v>
      </c>
      <c r="C33" s="12" t="s">
        <v>16</v>
      </c>
      <c r="D33" s="13" t="s">
        <v>143</v>
      </c>
      <c r="E33" s="12" t="s">
        <v>144</v>
      </c>
      <c r="F33" s="12" t="s">
        <v>121</v>
      </c>
      <c r="G33" s="12">
        <v>2026.0</v>
      </c>
      <c r="H33" s="14" t="str">
        <f t="shared" si="1"/>
        <v/>
      </c>
      <c r="I33" s="15"/>
      <c r="J33" s="15"/>
      <c r="K33" s="1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1">
        <v>28.0</v>
      </c>
      <c r="B34" s="12" t="s">
        <v>14</v>
      </c>
      <c r="C34" s="12" t="s">
        <v>16</v>
      </c>
      <c r="D34" s="13" t="s">
        <v>93</v>
      </c>
      <c r="E34" s="12" t="s">
        <v>95</v>
      </c>
      <c r="F34" s="12" t="s">
        <v>109</v>
      </c>
      <c r="G34" s="12">
        <v>2026.0</v>
      </c>
      <c r="H34" s="14" t="str">
        <f t="shared" si="1"/>
        <v/>
      </c>
      <c r="I34" s="15"/>
      <c r="J34" s="15"/>
      <c r="K34" s="1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1">
        <v>29.0</v>
      </c>
      <c r="B35" s="12" t="s">
        <v>14</v>
      </c>
      <c r="C35" s="12" t="s">
        <v>16</v>
      </c>
      <c r="D35" s="13" t="s">
        <v>145</v>
      </c>
      <c r="E35" s="12" t="s">
        <v>146</v>
      </c>
      <c r="F35" s="12" t="s">
        <v>124</v>
      </c>
      <c r="G35" s="12">
        <v>2026.0</v>
      </c>
      <c r="H35" s="14" t="str">
        <f t="shared" si="1"/>
        <v/>
      </c>
      <c r="I35" s="15"/>
      <c r="J35" s="15"/>
      <c r="K35" s="1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1">
        <v>30.0</v>
      </c>
      <c r="B36" s="12" t="s">
        <v>14</v>
      </c>
      <c r="C36" s="12" t="s">
        <v>16</v>
      </c>
      <c r="D36" s="13" t="s">
        <v>147</v>
      </c>
      <c r="E36" s="12" t="s">
        <v>148</v>
      </c>
      <c r="F36" s="12" t="s">
        <v>121</v>
      </c>
      <c r="G36" s="12">
        <v>2026.0</v>
      </c>
      <c r="H36" s="14" t="str">
        <f t="shared" si="1"/>
        <v/>
      </c>
      <c r="I36" s="15"/>
      <c r="J36" s="15"/>
      <c r="K36" s="1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1.13"/>
    <col customWidth="1" min="5" max="5" width="20.25"/>
    <col customWidth="1" min="6" max="6" width="27.13"/>
    <col customWidth="1" min="8" max="8" width="4.25"/>
    <col customWidth="1" min="9" max="9" width="8.63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17</v>
      </c>
      <c r="D7" s="13" t="s">
        <v>21</v>
      </c>
      <c r="E7" s="12" t="s">
        <v>25</v>
      </c>
      <c r="F7" s="12" t="s">
        <v>28</v>
      </c>
      <c r="G7" s="12">
        <v>2025.0</v>
      </c>
      <c r="H7" s="14" t="str">
        <f t="shared" ref="H7:H13" si="1">IF(I7&lt;&gt;"","✓","")</f>
        <v/>
      </c>
      <c r="I7" s="15"/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17</v>
      </c>
      <c r="D8" s="13" t="s">
        <v>34</v>
      </c>
      <c r="E8" s="12" t="s">
        <v>38</v>
      </c>
      <c r="F8" s="12" t="s">
        <v>41</v>
      </c>
      <c r="G8" s="12">
        <v>2025.0</v>
      </c>
      <c r="H8" s="14" t="str">
        <f t="shared" si="1"/>
        <v/>
      </c>
      <c r="I8" s="15"/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17</v>
      </c>
      <c r="D9" s="13" t="s">
        <v>50</v>
      </c>
      <c r="E9" s="12" t="s">
        <v>51</v>
      </c>
      <c r="F9" s="12" t="s">
        <v>28</v>
      </c>
      <c r="G9" s="12">
        <v>2025.0</v>
      </c>
      <c r="H9" s="14" t="str">
        <f t="shared" si="1"/>
        <v/>
      </c>
      <c r="I9" s="15"/>
      <c r="J9" s="15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17</v>
      </c>
      <c r="D10" s="13" t="s">
        <v>61</v>
      </c>
      <c r="E10" s="12" t="s">
        <v>62</v>
      </c>
      <c r="F10" s="12" t="s">
        <v>41</v>
      </c>
      <c r="G10" s="12">
        <v>2025.0</v>
      </c>
      <c r="H10" s="14" t="str">
        <f t="shared" si="1"/>
        <v/>
      </c>
      <c r="I10" s="15"/>
      <c r="J10" s="15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17</v>
      </c>
      <c r="D11" s="13" t="s">
        <v>69</v>
      </c>
      <c r="E11" s="12" t="s">
        <v>70</v>
      </c>
      <c r="F11" s="12" t="s">
        <v>41</v>
      </c>
      <c r="G11" s="12">
        <v>2025.0</v>
      </c>
      <c r="H11" s="14" t="str">
        <f t="shared" si="1"/>
        <v/>
      </c>
      <c r="I11" s="15"/>
      <c r="J11" s="15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17</v>
      </c>
      <c r="D12" s="13" t="s">
        <v>75</v>
      </c>
      <c r="E12" s="12" t="s">
        <v>77</v>
      </c>
      <c r="F12" s="12" t="s">
        <v>41</v>
      </c>
      <c r="G12" s="12">
        <v>2025.0</v>
      </c>
      <c r="H12" s="14" t="str">
        <f t="shared" si="1"/>
        <v/>
      </c>
      <c r="I12" s="15"/>
      <c r="J12" s="15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17</v>
      </c>
      <c r="D13" s="13" t="s">
        <v>84</v>
      </c>
      <c r="E13" s="12" t="s">
        <v>86</v>
      </c>
      <c r="F13" s="12" t="s">
        <v>28</v>
      </c>
      <c r="G13" s="12">
        <v>2025.0</v>
      </c>
      <c r="H13" s="14" t="str">
        <f t="shared" si="1"/>
        <v/>
      </c>
      <c r="I13" s="15"/>
      <c r="J13" s="15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1.13"/>
    <col customWidth="1" min="5" max="5" width="20.25"/>
    <col customWidth="1" min="6" max="6" width="27.13"/>
    <col customWidth="1" min="8" max="8" width="4.25"/>
    <col customWidth="1" min="9" max="9" width="8.63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3" t="s">
        <v>18</v>
      </c>
      <c r="E7" s="12" t="s">
        <v>22</v>
      </c>
      <c r="F7" s="12" t="s">
        <v>23</v>
      </c>
      <c r="G7" s="12">
        <v>2025.0</v>
      </c>
      <c r="H7" s="14" t="str">
        <f t="shared" ref="H7:H10" si="1">IF(I7&lt;&gt;"","✓","")</f>
        <v/>
      </c>
      <c r="I7" s="15"/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15</v>
      </c>
      <c r="D8" s="13" t="s">
        <v>30</v>
      </c>
      <c r="E8" s="12" t="s">
        <v>31</v>
      </c>
      <c r="F8" s="12" t="s">
        <v>36</v>
      </c>
      <c r="G8" s="12">
        <v>2025.0</v>
      </c>
      <c r="H8" s="14" t="str">
        <f t="shared" si="1"/>
        <v/>
      </c>
      <c r="I8" s="15"/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15</v>
      </c>
      <c r="D9" s="13" t="s">
        <v>42</v>
      </c>
      <c r="E9" s="12" t="s">
        <v>43</v>
      </c>
      <c r="F9" s="12" t="s">
        <v>36</v>
      </c>
      <c r="G9" s="12">
        <v>2025.0</v>
      </c>
      <c r="H9" s="14" t="str">
        <f t="shared" si="1"/>
        <v/>
      </c>
      <c r="I9" s="15"/>
      <c r="J9" s="15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15</v>
      </c>
      <c r="D10" s="13" t="s">
        <v>52</v>
      </c>
      <c r="E10" s="12" t="s">
        <v>53</v>
      </c>
      <c r="F10" s="12" t="s">
        <v>54</v>
      </c>
      <c r="G10" s="12">
        <v>2025.0</v>
      </c>
      <c r="H10" s="14" t="str">
        <f t="shared" si="1"/>
        <v/>
      </c>
      <c r="I10" s="15"/>
      <c r="J10" s="15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1.13"/>
    <col customWidth="1" min="5" max="5" width="20.25"/>
    <col customWidth="1" min="6" max="6" width="27.13"/>
    <col customWidth="1" min="8" max="8" width="4.25"/>
    <col customWidth="1" min="9" max="9" width="8.63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14</v>
      </c>
      <c r="D7" s="13" t="s">
        <v>19</v>
      </c>
      <c r="E7" s="12" t="s">
        <v>26</v>
      </c>
      <c r="F7" s="12" t="s">
        <v>29</v>
      </c>
      <c r="G7" s="12">
        <v>2025.0</v>
      </c>
      <c r="H7" s="14" t="str">
        <f t="shared" ref="H7:H17" si="1">IF(I7&lt;&gt;"","✓","")</f>
        <v/>
      </c>
      <c r="I7" s="15"/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14</v>
      </c>
      <c r="D8" s="13" t="s">
        <v>33</v>
      </c>
      <c r="E8" s="12" t="s">
        <v>37</v>
      </c>
      <c r="F8" s="12" t="s">
        <v>40</v>
      </c>
      <c r="G8" s="12">
        <v>2025.0</v>
      </c>
      <c r="H8" s="14" t="str">
        <f t="shared" si="1"/>
        <v/>
      </c>
      <c r="I8" s="15"/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14</v>
      </c>
      <c r="D9" s="13" t="s">
        <v>45</v>
      </c>
      <c r="E9" s="12" t="s">
        <v>47</v>
      </c>
      <c r="F9" s="12" t="s">
        <v>49</v>
      </c>
      <c r="G9" s="12">
        <v>2025.0</v>
      </c>
      <c r="H9" s="14" t="str">
        <f t="shared" si="1"/>
        <v/>
      </c>
      <c r="I9" s="15"/>
      <c r="J9" s="15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14</v>
      </c>
      <c r="D10" s="13" t="s">
        <v>56</v>
      </c>
      <c r="E10" s="12" t="s">
        <v>58</v>
      </c>
      <c r="F10" s="12" t="s">
        <v>60</v>
      </c>
      <c r="G10" s="12">
        <v>2025.0</v>
      </c>
      <c r="H10" s="14" t="str">
        <f t="shared" si="1"/>
        <v/>
      </c>
      <c r="I10" s="15"/>
      <c r="J10" s="15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14</v>
      </c>
      <c r="D11" s="13" t="s">
        <v>64</v>
      </c>
      <c r="E11" s="12" t="s">
        <v>66</v>
      </c>
      <c r="F11" s="12" t="s">
        <v>68</v>
      </c>
      <c r="G11" s="12">
        <v>2025.0</v>
      </c>
      <c r="H11" s="14" t="str">
        <f t="shared" si="1"/>
        <v/>
      </c>
      <c r="I11" s="15"/>
      <c r="J11" s="15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14</v>
      </c>
      <c r="D12" s="13" t="s">
        <v>74</v>
      </c>
      <c r="E12" s="12" t="s">
        <v>76</v>
      </c>
      <c r="F12" s="12" t="s">
        <v>78</v>
      </c>
      <c r="G12" s="12">
        <v>2025.0</v>
      </c>
      <c r="H12" s="14" t="str">
        <f t="shared" si="1"/>
        <v/>
      </c>
      <c r="I12" s="15"/>
      <c r="J12" s="15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14</v>
      </c>
      <c r="D13" s="13" t="s">
        <v>82</v>
      </c>
      <c r="E13" s="12" t="s">
        <v>83</v>
      </c>
      <c r="F13" s="12" t="s">
        <v>85</v>
      </c>
      <c r="G13" s="12">
        <v>2025.0</v>
      </c>
      <c r="H13" s="14" t="str">
        <f t="shared" si="1"/>
        <v/>
      </c>
      <c r="I13" s="15"/>
      <c r="J13" s="15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14</v>
      </c>
      <c r="D14" s="13" t="s">
        <v>89</v>
      </c>
      <c r="E14" s="12" t="s">
        <v>90</v>
      </c>
      <c r="F14" s="12" t="s">
        <v>92</v>
      </c>
      <c r="G14" s="12">
        <v>2025.0</v>
      </c>
      <c r="H14" s="14" t="str">
        <f t="shared" si="1"/>
        <v/>
      </c>
      <c r="I14" s="15"/>
      <c r="J14" s="15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14</v>
      </c>
      <c r="D15" s="13" t="s">
        <v>94</v>
      </c>
      <c r="E15" s="12">
        <v>1.50605410742001E15</v>
      </c>
      <c r="F15" s="12" t="s">
        <v>97</v>
      </c>
      <c r="G15" s="12">
        <v>2025.0</v>
      </c>
      <c r="H15" s="14" t="str">
        <f t="shared" si="1"/>
        <v/>
      </c>
      <c r="I15" s="15"/>
      <c r="J15" s="15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14</v>
      </c>
      <c r="D16" s="13" t="s">
        <v>99</v>
      </c>
      <c r="E16" s="12" t="s">
        <v>101</v>
      </c>
      <c r="F16" s="12" t="s">
        <v>103</v>
      </c>
      <c r="G16" s="12">
        <v>2025.0</v>
      </c>
      <c r="H16" s="14" t="str">
        <f t="shared" si="1"/>
        <v/>
      </c>
      <c r="I16" s="15"/>
      <c r="J16" s="15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14</v>
      </c>
      <c r="D17" s="13" t="s">
        <v>104</v>
      </c>
      <c r="E17" s="12" t="s">
        <v>105</v>
      </c>
      <c r="F17" s="12" t="s">
        <v>107</v>
      </c>
      <c r="G17" s="12">
        <v>2025.0</v>
      </c>
      <c r="H17" s="14" t="str">
        <f t="shared" si="1"/>
        <v/>
      </c>
      <c r="I17" s="15"/>
      <c r="J17" s="15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1.13"/>
    <col customWidth="1" min="5" max="5" width="20.25"/>
    <col customWidth="1" min="6" max="6" width="27.13"/>
    <col customWidth="1" min="8" max="8" width="4.25"/>
    <col customWidth="1" min="9" max="9" width="8.63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149</v>
      </c>
      <c r="D7" s="13" t="s">
        <v>150</v>
      </c>
      <c r="E7" s="12" t="s">
        <v>151</v>
      </c>
      <c r="F7" s="12" t="s">
        <v>152</v>
      </c>
      <c r="G7" s="12">
        <v>2025.0</v>
      </c>
      <c r="H7" s="14" t="str">
        <f t="shared" ref="H7:H20" si="1">IF(I7&lt;&gt;"","✓","")</f>
        <v/>
      </c>
      <c r="I7" s="15"/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149</v>
      </c>
      <c r="D8" s="13" t="s">
        <v>153</v>
      </c>
      <c r="E8" s="12" t="s">
        <v>154</v>
      </c>
      <c r="F8" s="12" t="s">
        <v>152</v>
      </c>
      <c r="G8" s="12">
        <v>2025.0</v>
      </c>
      <c r="H8" s="14" t="str">
        <f t="shared" si="1"/>
        <v/>
      </c>
      <c r="I8" s="15"/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149</v>
      </c>
      <c r="D9" s="13" t="s">
        <v>155</v>
      </c>
      <c r="E9" s="12">
        <v>1.50605230198E15</v>
      </c>
      <c r="F9" s="12" t="s">
        <v>156</v>
      </c>
      <c r="G9" s="12">
        <v>2025.0</v>
      </c>
      <c r="H9" s="14" t="str">
        <f t="shared" si="1"/>
        <v/>
      </c>
      <c r="I9" s="15"/>
      <c r="J9" s="15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149</v>
      </c>
      <c r="D10" s="13" t="s">
        <v>157</v>
      </c>
      <c r="E10" s="12" t="s">
        <v>158</v>
      </c>
      <c r="F10" s="12" t="s">
        <v>159</v>
      </c>
      <c r="G10" s="12">
        <v>2025.0</v>
      </c>
      <c r="H10" s="14" t="str">
        <f t="shared" si="1"/>
        <v/>
      </c>
      <c r="I10" s="15"/>
      <c r="J10" s="15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149</v>
      </c>
      <c r="D11" s="13" t="s">
        <v>160</v>
      </c>
      <c r="E11" s="12">
        <v>1.50605680565E15</v>
      </c>
      <c r="F11" s="12" t="s">
        <v>161</v>
      </c>
      <c r="G11" s="12">
        <v>2025.0</v>
      </c>
      <c r="H11" s="14" t="str">
        <f t="shared" si="1"/>
        <v/>
      </c>
      <c r="I11" s="15"/>
      <c r="J11" s="15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149</v>
      </c>
      <c r="D12" s="13" t="s">
        <v>162</v>
      </c>
      <c r="E12" s="12" t="s">
        <v>163</v>
      </c>
      <c r="F12" s="12" t="s">
        <v>159</v>
      </c>
      <c r="G12" s="12">
        <v>2025.0</v>
      </c>
      <c r="H12" s="14" t="str">
        <f t="shared" si="1"/>
        <v/>
      </c>
      <c r="I12" s="15"/>
      <c r="J12" s="15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149</v>
      </c>
      <c r="D13" s="13" t="s">
        <v>164</v>
      </c>
      <c r="E13" s="12" t="s">
        <v>165</v>
      </c>
      <c r="F13" s="12" t="s">
        <v>166</v>
      </c>
      <c r="G13" s="12">
        <v>2025.0</v>
      </c>
      <c r="H13" s="14" t="str">
        <f t="shared" si="1"/>
        <v/>
      </c>
      <c r="I13" s="15"/>
      <c r="J13" s="15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149</v>
      </c>
      <c r="D14" s="13" t="s">
        <v>167</v>
      </c>
      <c r="E14" s="12" t="s">
        <v>168</v>
      </c>
      <c r="F14" s="12" t="s">
        <v>169</v>
      </c>
      <c r="G14" s="12">
        <v>2025.0</v>
      </c>
      <c r="H14" s="14" t="str">
        <f t="shared" si="1"/>
        <v/>
      </c>
      <c r="I14" s="15"/>
      <c r="J14" s="15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149</v>
      </c>
      <c r="D15" s="13" t="s">
        <v>170</v>
      </c>
      <c r="E15" s="12" t="s">
        <v>171</v>
      </c>
      <c r="F15" s="12" t="s">
        <v>172</v>
      </c>
      <c r="G15" s="12">
        <v>2025.0</v>
      </c>
      <c r="H15" s="14" t="str">
        <f t="shared" si="1"/>
        <v/>
      </c>
      <c r="I15" s="15"/>
      <c r="J15" s="15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149</v>
      </c>
      <c r="D16" s="13" t="s">
        <v>173</v>
      </c>
      <c r="E16" s="12" t="s">
        <v>174</v>
      </c>
      <c r="F16" s="12" t="s">
        <v>159</v>
      </c>
      <c r="G16" s="12">
        <v>2025.0</v>
      </c>
      <c r="H16" s="14" t="str">
        <f t="shared" si="1"/>
        <v/>
      </c>
      <c r="I16" s="15"/>
      <c r="J16" s="15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149</v>
      </c>
      <c r="D17" s="13" t="s">
        <v>175</v>
      </c>
      <c r="E17" s="12" t="s">
        <v>176</v>
      </c>
      <c r="F17" s="12" t="s">
        <v>177</v>
      </c>
      <c r="G17" s="12">
        <v>2025.0</v>
      </c>
      <c r="H17" s="14" t="str">
        <f t="shared" si="1"/>
        <v/>
      </c>
      <c r="I17" s="15"/>
      <c r="J17" s="15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149</v>
      </c>
      <c r="D18" s="13" t="s">
        <v>178</v>
      </c>
      <c r="E18" s="12" t="s">
        <v>179</v>
      </c>
      <c r="F18" s="12" t="s">
        <v>156</v>
      </c>
      <c r="G18" s="12">
        <v>2025.0</v>
      </c>
      <c r="H18" s="14" t="str">
        <f t="shared" si="1"/>
        <v/>
      </c>
      <c r="I18" s="15"/>
      <c r="J18" s="15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149</v>
      </c>
      <c r="D19" s="13" t="s">
        <v>180</v>
      </c>
      <c r="E19" s="12" t="s">
        <v>181</v>
      </c>
      <c r="F19" s="12" t="s">
        <v>182</v>
      </c>
      <c r="G19" s="12">
        <v>2025.0</v>
      </c>
      <c r="H19" s="14" t="str">
        <f t="shared" si="1"/>
        <v/>
      </c>
      <c r="I19" s="15"/>
      <c r="J19" s="15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149</v>
      </c>
      <c r="D20" s="13" t="s">
        <v>183</v>
      </c>
      <c r="E20" s="12" t="s">
        <v>184</v>
      </c>
      <c r="F20" s="12" t="s">
        <v>161</v>
      </c>
      <c r="G20" s="12">
        <v>2025.0</v>
      </c>
      <c r="H20" s="14" t="str">
        <f t="shared" si="1"/>
        <v/>
      </c>
      <c r="I20" s="15"/>
      <c r="J20" s="15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1.13"/>
    <col customWidth="1" min="5" max="5" width="20.25"/>
    <col customWidth="1" min="6" max="6" width="27.13"/>
    <col customWidth="1" min="8" max="8" width="4.25"/>
    <col customWidth="1" min="9" max="9" width="8.63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185</v>
      </c>
      <c r="D7" s="13" t="s">
        <v>186</v>
      </c>
      <c r="E7" s="12" t="s">
        <v>187</v>
      </c>
      <c r="F7" s="12" t="s">
        <v>188</v>
      </c>
      <c r="G7" s="12">
        <v>2025.0</v>
      </c>
      <c r="H7" s="14" t="str">
        <f t="shared" ref="H7:H9" si="1">IF(I7&lt;&gt;"","✓","")</f>
        <v/>
      </c>
      <c r="I7" s="15"/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185</v>
      </c>
      <c r="D8" s="13" t="s">
        <v>189</v>
      </c>
      <c r="E8" s="12" t="s">
        <v>190</v>
      </c>
      <c r="F8" s="12" t="s">
        <v>191</v>
      </c>
      <c r="G8" s="12">
        <v>2025.0</v>
      </c>
      <c r="H8" s="14" t="str">
        <f t="shared" si="1"/>
        <v/>
      </c>
      <c r="I8" s="15"/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3" t="s">
        <v>14</v>
      </c>
      <c r="C9" s="13" t="s">
        <v>192</v>
      </c>
      <c r="D9" s="13" t="s">
        <v>193</v>
      </c>
      <c r="E9" s="13" t="s">
        <v>190</v>
      </c>
      <c r="F9" s="13" t="s">
        <v>191</v>
      </c>
      <c r="G9" s="17"/>
      <c r="H9" s="14" t="str">
        <f t="shared" si="1"/>
        <v/>
      </c>
      <c r="I9" s="15"/>
      <c r="J9" s="15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</sheetData>
  <mergeCells count="4">
    <mergeCell ref="A1:K1"/>
    <mergeCell ref="A2:K2"/>
    <mergeCell ref="A3:K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1.13"/>
    <col customWidth="1" min="5" max="5" width="20.25"/>
    <col customWidth="1" min="6" max="6" width="27.13"/>
    <col customWidth="1" min="8" max="8" width="4.25"/>
    <col customWidth="1" min="9" max="9" width="8.63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194</v>
      </c>
      <c r="D7" s="13" t="s">
        <v>195</v>
      </c>
      <c r="E7" s="12" t="s">
        <v>196</v>
      </c>
      <c r="F7" s="12" t="s">
        <v>152</v>
      </c>
      <c r="G7" s="12">
        <v>2025.0</v>
      </c>
      <c r="H7" s="14" t="str">
        <f t="shared" ref="H7:H18" si="1">IF(I7&lt;&gt;"","✓","")</f>
        <v/>
      </c>
      <c r="I7" s="15"/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194</v>
      </c>
      <c r="D8" s="13" t="s">
        <v>197</v>
      </c>
      <c r="E8" s="12">
        <v>1.50605100975E15</v>
      </c>
      <c r="F8" s="12" t="s">
        <v>166</v>
      </c>
      <c r="G8" s="12">
        <v>2025.0</v>
      </c>
      <c r="H8" s="14" t="str">
        <f t="shared" si="1"/>
        <v/>
      </c>
      <c r="I8" s="15"/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194</v>
      </c>
      <c r="D9" s="13" t="s">
        <v>198</v>
      </c>
      <c r="E9" s="12" t="s">
        <v>199</v>
      </c>
      <c r="F9" s="12" t="s">
        <v>182</v>
      </c>
      <c r="G9" s="12">
        <v>2025.0</v>
      </c>
      <c r="H9" s="14" t="str">
        <f t="shared" si="1"/>
        <v/>
      </c>
      <c r="I9" s="15"/>
      <c r="J9" s="15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194</v>
      </c>
      <c r="D10" s="13" t="s">
        <v>200</v>
      </c>
      <c r="E10" s="12" t="s">
        <v>201</v>
      </c>
      <c r="F10" s="12" t="s">
        <v>172</v>
      </c>
      <c r="G10" s="12">
        <v>2025.0</v>
      </c>
      <c r="H10" s="14" t="str">
        <f t="shared" si="1"/>
        <v/>
      </c>
      <c r="I10" s="15"/>
      <c r="J10" s="15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194</v>
      </c>
      <c r="D11" s="13" t="s">
        <v>202</v>
      </c>
      <c r="E11" s="12" t="s">
        <v>203</v>
      </c>
      <c r="F11" s="12" t="s">
        <v>204</v>
      </c>
      <c r="G11" s="12">
        <v>2025.0</v>
      </c>
      <c r="H11" s="14" t="str">
        <f t="shared" si="1"/>
        <v/>
      </c>
      <c r="I11" s="15"/>
      <c r="J11" s="15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194</v>
      </c>
      <c r="D12" s="13" t="s">
        <v>205</v>
      </c>
      <c r="E12" s="12" t="s">
        <v>206</v>
      </c>
      <c r="F12" s="12" t="s">
        <v>166</v>
      </c>
      <c r="G12" s="12">
        <v>2025.0</v>
      </c>
      <c r="H12" s="14" t="str">
        <f t="shared" si="1"/>
        <v/>
      </c>
      <c r="I12" s="15"/>
      <c r="J12" s="15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194</v>
      </c>
      <c r="D13" s="13" t="s">
        <v>207</v>
      </c>
      <c r="E13" s="12">
        <v>1.50605410755001E15</v>
      </c>
      <c r="F13" s="12" t="s">
        <v>161</v>
      </c>
      <c r="G13" s="12">
        <v>2025.0</v>
      </c>
      <c r="H13" s="14" t="str">
        <f t="shared" si="1"/>
        <v/>
      </c>
      <c r="I13" s="15"/>
      <c r="J13" s="15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194</v>
      </c>
      <c r="D14" s="13" t="s">
        <v>208</v>
      </c>
      <c r="E14" s="12" t="s">
        <v>209</v>
      </c>
      <c r="F14" s="12" t="s">
        <v>210</v>
      </c>
      <c r="G14" s="12">
        <v>2025.0</v>
      </c>
      <c r="H14" s="14" t="str">
        <f t="shared" si="1"/>
        <v/>
      </c>
      <c r="I14" s="15"/>
      <c r="J14" s="15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3" t="s">
        <v>14</v>
      </c>
      <c r="C15" s="13" t="s">
        <v>211</v>
      </c>
      <c r="D15" s="13" t="s">
        <v>212</v>
      </c>
      <c r="E15" s="13" t="s">
        <v>213</v>
      </c>
      <c r="F15" s="13" t="s">
        <v>214</v>
      </c>
      <c r="G15" s="17"/>
      <c r="H15" s="14" t="str">
        <f t="shared" si="1"/>
        <v/>
      </c>
      <c r="I15" s="15"/>
      <c r="J15" s="15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3" t="s">
        <v>14</v>
      </c>
      <c r="C16" s="13" t="s">
        <v>211</v>
      </c>
      <c r="D16" s="13" t="s">
        <v>215</v>
      </c>
      <c r="E16" s="13" t="s">
        <v>216</v>
      </c>
      <c r="F16" s="13" t="s">
        <v>217</v>
      </c>
      <c r="G16" s="17"/>
      <c r="H16" s="14" t="str">
        <f t="shared" si="1"/>
        <v/>
      </c>
      <c r="I16" s="15"/>
      <c r="J16" s="15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3" t="s">
        <v>14</v>
      </c>
      <c r="C17" s="13" t="s">
        <v>211</v>
      </c>
      <c r="D17" s="13" t="s">
        <v>218</v>
      </c>
      <c r="E17" s="13" t="s">
        <v>219</v>
      </c>
      <c r="F17" s="13" t="s">
        <v>220</v>
      </c>
      <c r="G17" s="17"/>
      <c r="H17" s="14" t="str">
        <f t="shared" si="1"/>
        <v/>
      </c>
      <c r="I17" s="15"/>
      <c r="J17" s="15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3" t="s">
        <v>14</v>
      </c>
      <c r="C18" s="13" t="s">
        <v>211</v>
      </c>
      <c r="D18" s="13" t="s">
        <v>221</v>
      </c>
      <c r="E18" s="13" t="s">
        <v>222</v>
      </c>
      <c r="F18" s="13" t="s">
        <v>223</v>
      </c>
      <c r="G18" s="17"/>
      <c r="H18" s="14" t="str">
        <f t="shared" si="1"/>
        <v/>
      </c>
      <c r="I18" s="15"/>
      <c r="J18" s="15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</sheetData>
  <mergeCells count="4">
    <mergeCell ref="A1:K1"/>
    <mergeCell ref="A2:K2"/>
    <mergeCell ref="A3:K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1.13"/>
    <col customWidth="1" min="5" max="5" width="20.25"/>
    <col customWidth="1" min="6" max="6" width="27.13"/>
    <col customWidth="1" min="8" max="8" width="4.25"/>
    <col customWidth="1" min="9" max="9" width="8.63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224</v>
      </c>
      <c r="D7" s="13" t="s">
        <v>225</v>
      </c>
      <c r="E7" s="12" t="s">
        <v>226</v>
      </c>
      <c r="F7" s="12" t="s">
        <v>227</v>
      </c>
      <c r="G7" s="12">
        <v>2025.0</v>
      </c>
      <c r="H7" s="14" t="str">
        <f t="shared" ref="H7:H13" si="1">IF(I7&lt;&gt;"","✓","")</f>
        <v/>
      </c>
      <c r="I7" s="15"/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224</v>
      </c>
      <c r="D8" s="13" t="s">
        <v>228</v>
      </c>
      <c r="E8" s="12" t="s">
        <v>229</v>
      </c>
      <c r="F8" s="12" t="s">
        <v>230</v>
      </c>
      <c r="G8" s="12">
        <v>2026.0</v>
      </c>
      <c r="H8" s="14" t="str">
        <f t="shared" si="1"/>
        <v/>
      </c>
      <c r="I8" s="15"/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224</v>
      </c>
      <c r="D9" s="13" t="s">
        <v>231</v>
      </c>
      <c r="E9" s="12" t="s">
        <v>232</v>
      </c>
      <c r="F9" s="12" t="s">
        <v>230</v>
      </c>
      <c r="G9" s="12">
        <v>2026.0</v>
      </c>
      <c r="H9" s="14" t="str">
        <f t="shared" si="1"/>
        <v/>
      </c>
      <c r="I9" s="15"/>
      <c r="J9" s="15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224</v>
      </c>
      <c r="D10" s="13" t="s">
        <v>233</v>
      </c>
      <c r="E10" s="12" t="s">
        <v>234</v>
      </c>
      <c r="F10" s="12" t="s">
        <v>235</v>
      </c>
      <c r="G10" s="12">
        <v>2026.0</v>
      </c>
      <c r="H10" s="14" t="str">
        <f t="shared" si="1"/>
        <v/>
      </c>
      <c r="I10" s="15"/>
      <c r="J10" s="15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224</v>
      </c>
      <c r="D11" s="13" t="s">
        <v>236</v>
      </c>
      <c r="E11" s="12" t="s">
        <v>237</v>
      </c>
      <c r="F11" s="12" t="s">
        <v>235</v>
      </c>
      <c r="G11" s="12">
        <v>2026.0</v>
      </c>
      <c r="H11" s="14" t="str">
        <f t="shared" si="1"/>
        <v/>
      </c>
      <c r="I11" s="15"/>
      <c r="J11" s="15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224</v>
      </c>
      <c r="D12" s="13" t="s">
        <v>225</v>
      </c>
      <c r="E12" s="12" t="s">
        <v>238</v>
      </c>
      <c r="F12" s="12" t="s">
        <v>235</v>
      </c>
      <c r="G12" s="12">
        <v>2026.0</v>
      </c>
      <c r="H12" s="14" t="str">
        <f t="shared" si="1"/>
        <v/>
      </c>
      <c r="I12" s="15"/>
      <c r="J12" s="15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224</v>
      </c>
      <c r="D13" s="13" t="s">
        <v>239</v>
      </c>
      <c r="E13" s="12" t="s">
        <v>240</v>
      </c>
      <c r="F13" s="12" t="s">
        <v>241</v>
      </c>
      <c r="G13" s="12">
        <v>2026.0</v>
      </c>
      <c r="H13" s="14" t="str">
        <f t="shared" si="1"/>
        <v/>
      </c>
      <c r="I13" s="15"/>
      <c r="J13" s="15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</sheetData>
  <mergeCells count="4">
    <mergeCell ref="A1:K1"/>
    <mergeCell ref="A2:K2"/>
    <mergeCell ref="A3:K3"/>
    <mergeCell ref="H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1.13"/>
    <col customWidth="1" min="5" max="5" width="20.25"/>
    <col customWidth="1" min="6" max="6" width="27.13"/>
    <col customWidth="1" min="8" max="8" width="4.25"/>
    <col customWidth="1" min="9" max="9" width="8.63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242</v>
      </c>
      <c r="D7" s="13" t="s">
        <v>243</v>
      </c>
      <c r="E7" s="12" t="s">
        <v>244</v>
      </c>
      <c r="F7" s="12" t="s">
        <v>245</v>
      </c>
      <c r="G7" s="12">
        <v>2026.0</v>
      </c>
      <c r="H7" s="14" t="str">
        <f t="shared" ref="H7:H18" si="1">IF(I7&lt;&gt;"","✓","")</f>
        <v/>
      </c>
      <c r="I7" s="15"/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242</v>
      </c>
      <c r="D8" s="13" t="s">
        <v>246</v>
      </c>
      <c r="E8" s="12" t="s">
        <v>247</v>
      </c>
      <c r="F8" s="12" t="s">
        <v>248</v>
      </c>
      <c r="G8" s="12">
        <v>2026.0</v>
      </c>
      <c r="H8" s="14" t="str">
        <f t="shared" si="1"/>
        <v/>
      </c>
      <c r="I8" s="15"/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242</v>
      </c>
      <c r="D9" s="13" t="s">
        <v>249</v>
      </c>
      <c r="E9" s="12" t="s">
        <v>250</v>
      </c>
      <c r="F9" s="12" t="s">
        <v>251</v>
      </c>
      <c r="G9" s="12">
        <v>2026.0</v>
      </c>
      <c r="H9" s="14" t="str">
        <f t="shared" si="1"/>
        <v/>
      </c>
      <c r="I9" s="15"/>
      <c r="J9" s="15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242</v>
      </c>
      <c r="D10" s="13" t="s">
        <v>252</v>
      </c>
      <c r="E10" s="12" t="s">
        <v>253</v>
      </c>
      <c r="F10" s="12" t="s">
        <v>251</v>
      </c>
      <c r="G10" s="12">
        <v>2026.0</v>
      </c>
      <c r="H10" s="14" t="str">
        <f t="shared" si="1"/>
        <v/>
      </c>
      <c r="I10" s="15"/>
      <c r="J10" s="15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242</v>
      </c>
      <c r="D11" s="13" t="s">
        <v>254</v>
      </c>
      <c r="E11" s="12" t="s">
        <v>255</v>
      </c>
      <c r="F11" s="12" t="s">
        <v>256</v>
      </c>
      <c r="G11" s="12">
        <v>2026.0</v>
      </c>
      <c r="H11" s="14" t="str">
        <f t="shared" si="1"/>
        <v/>
      </c>
      <c r="I11" s="15"/>
      <c r="J11" s="15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242</v>
      </c>
      <c r="D12" s="13" t="s">
        <v>257</v>
      </c>
      <c r="E12" s="12" t="s">
        <v>258</v>
      </c>
      <c r="F12" s="12" t="s">
        <v>259</v>
      </c>
      <c r="G12" s="12">
        <v>2026.0</v>
      </c>
      <c r="H12" s="14" t="str">
        <f t="shared" si="1"/>
        <v/>
      </c>
      <c r="I12" s="15"/>
      <c r="J12" s="15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242</v>
      </c>
      <c r="D13" s="13" t="s">
        <v>260</v>
      </c>
      <c r="E13" s="12" t="s">
        <v>261</v>
      </c>
      <c r="F13" s="12" t="s">
        <v>262</v>
      </c>
      <c r="G13" s="12">
        <v>2026.0</v>
      </c>
      <c r="H13" s="14" t="str">
        <f t="shared" si="1"/>
        <v/>
      </c>
      <c r="I13" s="15"/>
      <c r="J13" s="15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242</v>
      </c>
      <c r="D14" s="13" t="s">
        <v>263</v>
      </c>
      <c r="E14" s="12" t="s">
        <v>264</v>
      </c>
      <c r="F14" s="12" t="s">
        <v>265</v>
      </c>
      <c r="G14" s="12">
        <v>2026.0</v>
      </c>
      <c r="H14" s="14" t="str">
        <f t="shared" si="1"/>
        <v/>
      </c>
      <c r="I14" s="15"/>
      <c r="J14" s="15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242</v>
      </c>
      <c r="D15" s="13" t="s">
        <v>266</v>
      </c>
      <c r="E15" s="12" t="s">
        <v>267</v>
      </c>
      <c r="F15" s="12" t="s">
        <v>248</v>
      </c>
      <c r="G15" s="12">
        <v>2026.0</v>
      </c>
      <c r="H15" s="14" t="str">
        <f t="shared" si="1"/>
        <v/>
      </c>
      <c r="I15" s="15"/>
      <c r="J15" s="15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242</v>
      </c>
      <c r="D16" s="13" t="s">
        <v>268</v>
      </c>
      <c r="E16" s="12" t="s">
        <v>269</v>
      </c>
      <c r="F16" s="12" t="s">
        <v>245</v>
      </c>
      <c r="G16" s="12">
        <v>2026.0</v>
      </c>
      <c r="H16" s="14" t="str">
        <f t="shared" si="1"/>
        <v/>
      </c>
      <c r="I16" s="15"/>
      <c r="J16" s="15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242</v>
      </c>
      <c r="D17" s="13" t="s">
        <v>270</v>
      </c>
      <c r="E17" s="12" t="s">
        <v>271</v>
      </c>
      <c r="F17" s="12" t="s">
        <v>245</v>
      </c>
      <c r="G17" s="12">
        <v>2026.0</v>
      </c>
      <c r="H17" s="14" t="str">
        <f t="shared" si="1"/>
        <v/>
      </c>
      <c r="I17" s="15"/>
      <c r="J17" s="15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242</v>
      </c>
      <c r="D18" s="13" t="s">
        <v>272</v>
      </c>
      <c r="E18" s="12" t="s">
        <v>273</v>
      </c>
      <c r="F18" s="12" t="s">
        <v>274</v>
      </c>
      <c r="G18" s="12">
        <v>2026.0</v>
      </c>
      <c r="H18" s="14" t="str">
        <f t="shared" si="1"/>
        <v/>
      </c>
      <c r="I18" s="15"/>
      <c r="J18" s="15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</sheetData>
  <mergeCells count="4">
    <mergeCell ref="A1:K1"/>
    <mergeCell ref="A2:K2"/>
    <mergeCell ref="A3:K3"/>
    <mergeCell ref="H6:I6"/>
  </mergeCells>
  <drawing r:id="rId1"/>
</worksheet>
</file>