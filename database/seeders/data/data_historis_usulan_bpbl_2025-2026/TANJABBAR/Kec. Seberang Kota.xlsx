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APAN JAYA" sheetId="1" r:id="rId5"/>
    <sheet state="visible" name="TUNGKAL IV DESA" sheetId="2" r:id="rId6"/>
    <sheet state="visible" name="MUARA SEBERANG" sheetId="3" r:id="rId7"/>
    <sheet state="visible" name="SUNGAI KAYU ARO" sheetId="4" r:id="rId8"/>
  </sheets>
  <definedNames/>
  <calcPr/>
</workbook>
</file>

<file path=xl/sharedStrings.xml><?xml version="1.0" encoding="utf-8"?>
<sst xmlns="http://schemas.openxmlformats.org/spreadsheetml/2006/main" count="246" uniqueCount="112">
  <si>
    <t>REKAPITULASI USULAN DAN REALISASI PENERIMA BPBL PROVINSI JAMBI</t>
  </si>
  <si>
    <t>MELALUI KEGIATAN PLN (Sumber Dana APBN)</t>
  </si>
  <si>
    <t>TAHUN 2025-2026</t>
  </si>
  <si>
    <t>Kab/Kota</t>
  </si>
  <si>
    <t>: Kabupaten Tanjung Jabung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</si>
  <si>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</si>
  <si>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</si>
  <si>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</si>
  <si>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</si>
  <si>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</si>
  <si>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</si>
  <si>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</si>
  <si>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</si>
  <si>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</si>
  <si>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SEBERANG KOTA</t>
  </si>
  <si>
    <t>MUARA SEBERANG</t>
  </si>
  <si>
    <t>JUNAIDI</t>
  </si>
  <si>
    <t>1506021104870001</t>
  </si>
  <si>
    <t>PARIT BAKAU RT 07</t>
  </si>
  <si>
    <t>SENYERANG</t>
  </si>
  <si>
    <t>HARAPAN JAYA</t>
  </si>
  <si>
    <t>ARDIAN</t>
  </si>
  <si>
    <t>1506030809960005</t>
  </si>
  <si>
    <t>PARIT IBUR</t>
  </si>
  <si>
    <t>SUNGAIKAYU ARO</t>
  </si>
  <si>
    <t>AHMAD PADI</t>
  </si>
  <si>
    <t>1506030506870001</t>
  </si>
  <si>
    <t>JL. KASWARI RT 1O DUSUN MEKAR SARI</t>
  </si>
  <si>
    <t>TUNGKAL IV DESA</t>
  </si>
  <si>
    <t>ABDUL SAMAD</t>
  </si>
  <si>
    <t>1506021103760003</t>
  </si>
  <si>
    <t>DUSUN API API RT 02</t>
  </si>
  <si>
    <t>MUARASEBERANG</t>
  </si>
  <si>
    <t>M. HELDI</t>
  </si>
  <si>
    <t>1506022909890003</t>
  </si>
  <si>
    <t>PARIT NAZAR RT 03</t>
  </si>
  <si>
    <t>BARIAH</t>
  </si>
  <si>
    <t>1506024506630005</t>
  </si>
  <si>
    <t>PARIT GABIS</t>
  </si>
  <si>
    <t>ALDI SURIYANSYAH</t>
  </si>
  <si>
    <t>1506022305990002</t>
  </si>
  <si>
    <t>NUR HASANAH</t>
  </si>
  <si>
    <t>1506024107660023</t>
  </si>
  <si>
    <t>JALAN PARIT BAKAU</t>
  </si>
  <si>
    <t>M. PAHRIJAL YUSPI</t>
  </si>
  <si>
    <t>1506101801900001</t>
  </si>
  <si>
    <t>CITRA</t>
  </si>
  <si>
    <t>1506020702540001</t>
  </si>
  <si>
    <t>DUSUN API API RT 08</t>
  </si>
  <si>
    <t>MAHLIDIN</t>
  </si>
  <si>
    <t>1506021902770001</t>
  </si>
  <si>
    <t>GAPAR</t>
  </si>
  <si>
    <t>1506021302960001</t>
  </si>
  <si>
    <t>DUSUN PIDADA RT 04</t>
  </si>
  <si>
    <t>MARHAMAH</t>
  </si>
  <si>
    <t>1506105212550001</t>
  </si>
  <si>
    <t>GUSASIAH</t>
  </si>
  <si>
    <t>1506106804650001</t>
  </si>
  <si>
    <t>DUSUN PIDADA RT 07</t>
  </si>
  <si>
    <t>INYAH</t>
  </si>
  <si>
    <t>1506104605550001</t>
  </si>
  <si>
    <t>NUR AYINI</t>
  </si>
  <si>
    <t>1506024107750032</t>
  </si>
  <si>
    <t>PARIT H. YUSUF</t>
  </si>
  <si>
    <t>JUMAIYAH</t>
  </si>
  <si>
    <t>RUSDI</t>
  </si>
  <si>
    <t>1506105507600001</t>
  </si>
  <si>
    <t>1506100701750002</t>
  </si>
  <si>
    <t>DUSUN PIDADA RT 05</t>
  </si>
  <si>
    <t>UMI KASUM</t>
  </si>
  <si>
    <t>LAMNAH</t>
  </si>
  <si>
    <t>1506024607490002</t>
  </si>
  <si>
    <t>1506106311660002</t>
  </si>
  <si>
    <t>PARIT GABI</t>
  </si>
  <si>
    <t>M.YANI</t>
  </si>
  <si>
    <t>1506020302610002</t>
  </si>
  <si>
    <t>MASRAH</t>
  </si>
  <si>
    <t>1506105310500001</t>
  </si>
  <si>
    <t>MUHAMAD SAIDI</t>
  </si>
  <si>
    <t>1506101908780001</t>
  </si>
  <si>
    <t>NASRULLAH</t>
  </si>
  <si>
    <t>1506101106970001</t>
  </si>
  <si>
    <t>DUSUN API API RT 01</t>
  </si>
  <si>
    <t>RAHMAT</t>
  </si>
  <si>
    <t>1506022210950001</t>
  </si>
  <si>
    <t>DUSUN API API RT 03</t>
  </si>
  <si>
    <t>RUDI IRAWAN</t>
  </si>
  <si>
    <t>1506021508880004</t>
  </si>
  <si>
    <t>SABRAN ALI</t>
  </si>
  <si>
    <t>1506101204910001</t>
  </si>
  <si>
    <t>SAID</t>
  </si>
  <si>
    <t>1506100101710001</t>
  </si>
  <si>
    <t>SAMPURNA</t>
  </si>
  <si>
    <t>1506024708530001</t>
  </si>
  <si>
    <t>SAMSUL</t>
  </si>
  <si>
    <t>1506021609680001</t>
  </si>
  <si>
    <t>SANIAH</t>
  </si>
  <si>
    <t>1506024607490001</t>
  </si>
  <si>
    <t>SUPIANI</t>
  </si>
  <si>
    <t>1506104311780001</t>
  </si>
  <si>
    <t>WELAS</t>
  </si>
  <si>
    <t>1506104304420001</t>
  </si>
  <si>
    <t>YANNAH</t>
  </si>
  <si>
    <t>1506104405730002</t>
  </si>
  <si>
    <t>YASA</t>
  </si>
  <si>
    <t>1506100402910001</t>
  </si>
  <si>
    <t>DAHLIA</t>
  </si>
  <si>
    <t>1404106505920006</t>
  </si>
  <si>
    <t>JALAN DUSUN PIDADA</t>
  </si>
  <si>
    <t>JULKARNAIN</t>
  </si>
  <si>
    <t>1506100204990001</t>
  </si>
  <si>
    <t>JALAN SUNGAI BATANG BESAR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</si>
</sst>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4" numFmtId="0" xfId="0" applyAlignment="1" applyBorder="1" applyFont="1">
      <alignment horizontal="right" readingOrder="0" shrinkToFit="0" vertical="bottom" wrapText="0"/>
    </xf>
    <xf borderId="3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8.0"/>
    <col customWidth="1" min="4" max="4" width="19.25"/>
    <col customWidth="1" min="5" max="5" width="20.38"/>
    <col customWidth="1" min="6" max="6" width="37.38"/>
    <col customWidth="1" min="8" max="8" width="4.0"/>
    <col customWidth="1" min="9" max="9" width="8.25"/>
    <col customWidth="1" min="10" max="10" width="3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20</v>
      </c>
      <c r="D7" s="12" t="s">
        <v>21</v>
      </c>
      <c r="E7" s="13" t="s">
        <v>22</v>
      </c>
      <c r="F7" s="13" t="s">
        <v>23</v>
      </c>
      <c r="G7" s="13">
        <v>2025.0</v>
      </c>
      <c r="H7" s="17" t="str">
        <f t="shared" ref="H7:H15" si="1">IF(I7&lt;&gt;"","✓","")</f>
        <v>✓</v>
      </c>
      <c r="I7" s="18">
        <v>2025.0</v>
      </c>
      <c r="J7" s="22">
        <v>1.0</v>
      </c>
      <c r="K7" s="2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20</v>
      </c>
      <c r="D8" s="12" t="s">
        <v>36</v>
      </c>
      <c r="E8" s="13" t="s">
        <v>37</v>
      </c>
      <c r="F8" s="13" t="s">
        <v>38</v>
      </c>
      <c r="G8" s="13">
        <v>2025.0</v>
      </c>
      <c r="H8" s="17" t="str">
        <f t="shared" si="1"/>
        <v/>
      </c>
      <c r="I8" s="21"/>
      <c r="J8" s="20"/>
      <c r="K8" s="2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20</v>
      </c>
      <c r="D9" s="12" t="s">
        <v>44</v>
      </c>
      <c r="E9" s="13" t="s">
        <v>45</v>
      </c>
      <c r="F9" s="13" t="s">
        <v>23</v>
      </c>
      <c r="G9" s="13">
        <v>2025.0</v>
      </c>
      <c r="H9" s="17" t="str">
        <f t="shared" si="1"/>
        <v>✓</v>
      </c>
      <c r="I9" s="18">
        <v>2025.0</v>
      </c>
      <c r="J9" s="22">
        <v>1.0</v>
      </c>
      <c r="K9" s="2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20</v>
      </c>
      <c r="D10" s="12" t="s">
        <v>49</v>
      </c>
      <c r="E10" s="13" t="s">
        <v>50</v>
      </c>
      <c r="F10" s="13" t="s">
        <v>23</v>
      </c>
      <c r="G10" s="13">
        <v>2025.0</v>
      </c>
      <c r="H10" s="17" t="str">
        <f t="shared" si="1"/>
        <v>✓</v>
      </c>
      <c r="I10" s="18">
        <v>2025.0</v>
      </c>
      <c r="J10" s="22">
        <v>1.0</v>
      </c>
      <c r="K10" s="2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20</v>
      </c>
      <c r="D11" s="12" t="s">
        <v>54</v>
      </c>
      <c r="E11" s="13" t="s">
        <v>55</v>
      </c>
      <c r="F11" s="13" t="s">
        <v>23</v>
      </c>
      <c r="G11" s="13">
        <v>2025.0</v>
      </c>
      <c r="H11" s="17" t="str">
        <f t="shared" si="1"/>
        <v>✓</v>
      </c>
      <c r="I11" s="18">
        <v>2025.0</v>
      </c>
      <c r="J11" s="22">
        <v>1.0</v>
      </c>
      <c r="K11" s="2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20</v>
      </c>
      <c r="D12" s="12" t="s">
        <v>61</v>
      </c>
      <c r="E12" s="13" t="s">
        <v>62</v>
      </c>
      <c r="F12" s="13" t="s">
        <v>63</v>
      </c>
      <c r="G12" s="13">
        <v>2025.0</v>
      </c>
      <c r="H12" s="17" t="str">
        <f t="shared" si="1"/>
        <v>✓</v>
      </c>
      <c r="I12" s="18">
        <v>2025.0</v>
      </c>
      <c r="J12" s="22">
        <v>1.0</v>
      </c>
      <c r="K12" s="2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20</v>
      </c>
      <c r="D13" s="12" t="s">
        <v>65</v>
      </c>
      <c r="E13" s="13" t="s">
        <v>67</v>
      </c>
      <c r="F13" s="13" t="s">
        <v>23</v>
      </c>
      <c r="G13" s="13">
        <v>2025.0</v>
      </c>
      <c r="H13" s="17" t="str">
        <f t="shared" si="1"/>
        <v/>
      </c>
      <c r="I13" s="21"/>
      <c r="J13" s="20"/>
      <c r="K13" s="2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20</v>
      </c>
      <c r="D14" s="12" t="s">
        <v>69</v>
      </c>
      <c r="E14" s="13" t="s">
        <v>71</v>
      </c>
      <c r="F14" s="13" t="s">
        <v>73</v>
      </c>
      <c r="G14" s="13">
        <v>2025.0</v>
      </c>
      <c r="H14" s="17" t="str">
        <f t="shared" si="1"/>
        <v/>
      </c>
      <c r="I14" s="21"/>
      <c r="J14" s="20"/>
      <c r="K14" s="2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3" t="s">
        <v>14</v>
      </c>
      <c r="C15" s="13" t="s">
        <v>20</v>
      </c>
      <c r="D15" s="12" t="s">
        <v>65</v>
      </c>
      <c r="E15" s="13" t="s">
        <v>67</v>
      </c>
      <c r="F15" s="13" t="s">
        <v>23</v>
      </c>
      <c r="G15" s="13">
        <v>2026.0</v>
      </c>
      <c r="H15" s="17" t="str">
        <f t="shared" si="1"/>
        <v/>
      </c>
      <c r="I15" s="21"/>
      <c r="J15" s="20"/>
      <c r="K15" s="2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8.0"/>
    <col customWidth="1" min="4" max="4" width="19.25"/>
    <col customWidth="1" min="5" max="5" width="20.38"/>
    <col customWidth="1" min="6" max="6" width="37.38"/>
    <col customWidth="1" min="8" max="8" width="4.0"/>
    <col customWidth="1" min="9" max="9" width="8.25"/>
    <col customWidth="1" min="10" max="10" width="3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3" t="s">
        <v>14</v>
      </c>
      <c r="C7" s="13" t="s">
        <v>28</v>
      </c>
      <c r="D7" s="12" t="s">
        <v>29</v>
      </c>
      <c r="E7" s="13" t="s">
        <v>30</v>
      </c>
      <c r="F7" s="13" t="s">
        <v>31</v>
      </c>
      <c r="G7" s="13">
        <v>2025.0</v>
      </c>
      <c r="H7" s="17" t="str">
        <f t="shared" ref="H7:H31" si="1">IF(I7&lt;&gt;"","✓","")</f>
        <v/>
      </c>
      <c r="I7" s="21"/>
      <c r="J7" s="20"/>
      <c r="K7" s="2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3" t="s">
        <v>14</v>
      </c>
      <c r="C8" s="13" t="s">
        <v>28</v>
      </c>
      <c r="D8" s="12" t="s">
        <v>39</v>
      </c>
      <c r="E8" s="13" t="s">
        <v>40</v>
      </c>
      <c r="F8" s="13" t="s">
        <v>31</v>
      </c>
      <c r="G8" s="13">
        <v>2025.0</v>
      </c>
      <c r="H8" s="17" t="str">
        <f t="shared" si="1"/>
        <v>✓</v>
      </c>
      <c r="I8" s="18">
        <v>2025.0</v>
      </c>
      <c r="J8" s="22">
        <v>1.0</v>
      </c>
      <c r="K8" s="2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3" t="s">
        <v>14</v>
      </c>
      <c r="C9" s="13" t="s">
        <v>28</v>
      </c>
      <c r="D9" s="12" t="s">
        <v>46</v>
      </c>
      <c r="E9" s="13" t="s">
        <v>47</v>
      </c>
      <c r="F9" s="13" t="s">
        <v>48</v>
      </c>
      <c r="G9" s="13">
        <v>2025.0</v>
      </c>
      <c r="H9" s="17" t="str">
        <f t="shared" si="1"/>
        <v>✓</v>
      </c>
      <c r="I9" s="18">
        <v>2025.0</v>
      </c>
      <c r="J9" s="22">
        <v>1.0</v>
      </c>
      <c r="K9" s="2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3" t="s">
        <v>14</v>
      </c>
      <c r="C10" s="13" t="s">
        <v>28</v>
      </c>
      <c r="D10" s="12" t="s">
        <v>51</v>
      </c>
      <c r="E10" s="13" t="s">
        <v>52</v>
      </c>
      <c r="F10" s="13" t="s">
        <v>53</v>
      </c>
      <c r="G10" s="13">
        <v>2025.0</v>
      </c>
      <c r="H10" s="17" t="str">
        <f t="shared" si="1"/>
        <v>✓</v>
      </c>
      <c r="I10" s="18">
        <v>2025.0</v>
      </c>
      <c r="J10" s="22">
        <v>1.0</v>
      </c>
      <c r="K10" s="2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3" t="s">
        <v>14</v>
      </c>
      <c r="C11" s="13" t="s">
        <v>28</v>
      </c>
      <c r="D11" s="12" t="s">
        <v>56</v>
      </c>
      <c r="E11" s="13" t="s">
        <v>57</v>
      </c>
      <c r="F11" s="13" t="s">
        <v>58</v>
      </c>
      <c r="G11" s="13">
        <v>2025.0</v>
      </c>
      <c r="H11" s="17" t="str">
        <f t="shared" si="1"/>
        <v>✓</v>
      </c>
      <c r="I11" s="18">
        <v>2025.0</v>
      </c>
      <c r="J11" s="22">
        <v>1.0</v>
      </c>
      <c r="K11" s="2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3" t="s">
        <v>14</v>
      </c>
      <c r="C12" s="13" t="s">
        <v>28</v>
      </c>
      <c r="D12" s="12" t="s">
        <v>59</v>
      </c>
      <c r="E12" s="13" t="s">
        <v>60</v>
      </c>
      <c r="F12" s="13" t="s">
        <v>53</v>
      </c>
      <c r="G12" s="13">
        <v>2025.0</v>
      </c>
      <c r="H12" s="17" t="str">
        <f t="shared" si="1"/>
        <v>✓</v>
      </c>
      <c r="I12" s="18">
        <v>2025.0</v>
      </c>
      <c r="J12" s="22">
        <v>1.0</v>
      </c>
      <c r="K12" s="2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3" t="s">
        <v>14</v>
      </c>
      <c r="C13" s="13" t="s">
        <v>28</v>
      </c>
      <c r="D13" s="12" t="s">
        <v>64</v>
      </c>
      <c r="E13" s="13" t="s">
        <v>66</v>
      </c>
      <c r="F13" s="13" t="s">
        <v>68</v>
      </c>
      <c r="G13" s="13">
        <v>2025.0</v>
      </c>
      <c r="H13" s="17" t="str">
        <f t="shared" si="1"/>
        <v>✓</v>
      </c>
      <c r="I13" s="18">
        <v>2025.0</v>
      </c>
      <c r="J13" s="22">
        <v>1.0</v>
      </c>
      <c r="K13" s="2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3" t="s">
        <v>14</v>
      </c>
      <c r="C14" s="13" t="s">
        <v>28</v>
      </c>
      <c r="D14" s="12" t="s">
        <v>70</v>
      </c>
      <c r="E14" s="13" t="s">
        <v>72</v>
      </c>
      <c r="F14" s="13" t="s">
        <v>58</v>
      </c>
      <c r="G14" s="13">
        <v>2025.0</v>
      </c>
      <c r="H14" s="17" t="str">
        <f t="shared" si="1"/>
        <v>✓</v>
      </c>
      <c r="I14" s="18">
        <v>2025.0</v>
      </c>
      <c r="J14" s="22">
        <v>1.0</v>
      </c>
      <c r="K14" s="2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3" t="s">
        <v>14</v>
      </c>
      <c r="C15" s="13" t="s">
        <v>28</v>
      </c>
      <c r="D15" s="12" t="s">
        <v>74</v>
      </c>
      <c r="E15" s="13" t="s">
        <v>75</v>
      </c>
      <c r="F15" s="13" t="s">
        <v>68</v>
      </c>
      <c r="G15" s="13">
        <v>2025.0</v>
      </c>
      <c r="H15" s="17" t="str">
        <f t="shared" si="1"/>
        <v>✓</v>
      </c>
      <c r="I15" s="18">
        <v>2025.0</v>
      </c>
      <c r="J15" s="22">
        <v>1.0</v>
      </c>
      <c r="K15" s="2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3" t="s">
        <v>14</v>
      </c>
      <c r="C16" s="13" t="s">
        <v>28</v>
      </c>
      <c r="D16" s="12" t="s">
        <v>76</v>
      </c>
      <c r="E16" s="13" t="s">
        <v>77</v>
      </c>
      <c r="F16" s="13" t="s">
        <v>58</v>
      </c>
      <c r="G16" s="13">
        <v>2025.0</v>
      </c>
      <c r="H16" s="17" t="str">
        <f t="shared" si="1"/>
        <v>✓</v>
      </c>
      <c r="I16" s="18">
        <v>2025.0</v>
      </c>
      <c r="J16" s="22">
        <v>1.0</v>
      </c>
      <c r="K16" s="2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3" t="s">
        <v>14</v>
      </c>
      <c r="C17" s="13" t="s">
        <v>28</v>
      </c>
      <c r="D17" s="12" t="s">
        <v>78</v>
      </c>
      <c r="E17" s="13" t="s">
        <v>79</v>
      </c>
      <c r="F17" s="13" t="s">
        <v>53</v>
      </c>
      <c r="G17" s="13">
        <v>2025.0</v>
      </c>
      <c r="H17" s="17" t="str">
        <f t="shared" si="1"/>
        <v>✓</v>
      </c>
      <c r="I17" s="18">
        <v>2025.0</v>
      </c>
      <c r="J17" s="22">
        <v>1.0</v>
      </c>
      <c r="K17" s="2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3" t="s">
        <v>14</v>
      </c>
      <c r="C18" s="13" t="s">
        <v>28</v>
      </c>
      <c r="D18" s="12" t="s">
        <v>80</v>
      </c>
      <c r="E18" s="13" t="s">
        <v>81</v>
      </c>
      <c r="F18" s="13" t="s">
        <v>82</v>
      </c>
      <c r="G18" s="13">
        <v>2025.0</v>
      </c>
      <c r="H18" s="17" t="str">
        <f t="shared" si="1"/>
        <v>✓</v>
      </c>
      <c r="I18" s="18">
        <v>2025.0</v>
      </c>
      <c r="J18" s="22">
        <v>1.0</v>
      </c>
      <c r="K18" s="2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3" t="s">
        <v>14</v>
      </c>
      <c r="C19" s="13" t="s">
        <v>28</v>
      </c>
      <c r="D19" s="12" t="s">
        <v>83</v>
      </c>
      <c r="E19" s="13" t="s">
        <v>84</v>
      </c>
      <c r="F19" s="13" t="s">
        <v>85</v>
      </c>
      <c r="G19" s="13">
        <v>2025.0</v>
      </c>
      <c r="H19" s="17" t="str">
        <f t="shared" si="1"/>
        <v/>
      </c>
      <c r="I19" s="21"/>
      <c r="J19" s="20"/>
      <c r="K19" s="2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3" t="s">
        <v>14</v>
      </c>
      <c r="C20" s="13" t="s">
        <v>28</v>
      </c>
      <c r="D20" s="12" t="s">
        <v>86</v>
      </c>
      <c r="E20" s="13" t="s">
        <v>87</v>
      </c>
      <c r="F20" s="13" t="s">
        <v>68</v>
      </c>
      <c r="G20" s="13">
        <v>2025.0</v>
      </c>
      <c r="H20" s="17" t="str">
        <f t="shared" si="1"/>
        <v>✓</v>
      </c>
      <c r="I20" s="18">
        <v>2025.0</v>
      </c>
      <c r="J20" s="22">
        <v>1.0</v>
      </c>
      <c r="K20" s="2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3" t="s">
        <v>14</v>
      </c>
      <c r="C21" s="13" t="s">
        <v>28</v>
      </c>
      <c r="D21" s="12" t="s">
        <v>88</v>
      </c>
      <c r="E21" s="13" t="s">
        <v>89</v>
      </c>
      <c r="F21" s="13" t="s">
        <v>53</v>
      </c>
      <c r="G21" s="13">
        <v>2025.0</v>
      </c>
      <c r="H21" s="17" t="str">
        <f t="shared" si="1"/>
        <v>✓</v>
      </c>
      <c r="I21" s="18">
        <v>2025.0</v>
      </c>
      <c r="J21" s="22">
        <v>1.0</v>
      </c>
      <c r="K21" s="2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3" t="s">
        <v>14</v>
      </c>
      <c r="C22" s="13" t="s">
        <v>28</v>
      </c>
      <c r="D22" s="12" t="s">
        <v>90</v>
      </c>
      <c r="E22" s="13" t="s">
        <v>91</v>
      </c>
      <c r="F22" s="13" t="s">
        <v>82</v>
      </c>
      <c r="G22" s="13">
        <v>2025.0</v>
      </c>
      <c r="H22" s="17" t="str">
        <f t="shared" si="1"/>
        <v/>
      </c>
      <c r="I22" s="21"/>
      <c r="J22" s="20"/>
      <c r="K22" s="2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3" t="s">
        <v>14</v>
      </c>
      <c r="C23" s="13" t="s">
        <v>28</v>
      </c>
      <c r="D23" s="12" t="s">
        <v>92</v>
      </c>
      <c r="E23" s="13" t="s">
        <v>93</v>
      </c>
      <c r="F23" s="13" t="s">
        <v>82</v>
      </c>
      <c r="G23" s="13">
        <v>2025.0</v>
      </c>
      <c r="H23" s="17" t="str">
        <f t="shared" si="1"/>
        <v>✓</v>
      </c>
      <c r="I23" s="18">
        <v>2025.0</v>
      </c>
      <c r="J23" s="22">
        <v>1.0</v>
      </c>
      <c r="K23" s="2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3" t="s">
        <v>14</v>
      </c>
      <c r="C24" s="13" t="s">
        <v>28</v>
      </c>
      <c r="D24" s="12" t="s">
        <v>94</v>
      </c>
      <c r="E24" s="13" t="s">
        <v>95</v>
      </c>
      <c r="F24" s="13" t="s">
        <v>82</v>
      </c>
      <c r="G24" s="13">
        <v>2025.0</v>
      </c>
      <c r="H24" s="17" t="str">
        <f t="shared" si="1"/>
        <v/>
      </c>
      <c r="I24" s="21"/>
      <c r="J24" s="20"/>
      <c r="K24" s="2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3" t="s">
        <v>14</v>
      </c>
      <c r="C25" s="13" t="s">
        <v>28</v>
      </c>
      <c r="D25" s="12" t="s">
        <v>96</v>
      </c>
      <c r="E25" s="13" t="s">
        <v>97</v>
      </c>
      <c r="F25" s="13" t="s">
        <v>31</v>
      </c>
      <c r="G25" s="13">
        <v>2025.0</v>
      </c>
      <c r="H25" s="17" t="str">
        <f t="shared" si="1"/>
        <v>✓</v>
      </c>
      <c r="I25" s="18">
        <v>2025.0</v>
      </c>
      <c r="J25" s="22">
        <v>1.0</v>
      </c>
      <c r="K25" s="2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3" t="s">
        <v>14</v>
      </c>
      <c r="C26" s="13" t="s">
        <v>28</v>
      </c>
      <c r="D26" s="12" t="s">
        <v>98</v>
      </c>
      <c r="E26" s="13" t="s">
        <v>99</v>
      </c>
      <c r="F26" s="13" t="s">
        <v>48</v>
      </c>
      <c r="G26" s="13">
        <v>2025.0</v>
      </c>
      <c r="H26" s="17" t="str">
        <f t="shared" si="1"/>
        <v>✓</v>
      </c>
      <c r="I26" s="18">
        <v>2025.0</v>
      </c>
      <c r="J26" s="22">
        <v>1.0</v>
      </c>
      <c r="K26" s="2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3" t="s">
        <v>14</v>
      </c>
      <c r="C27" s="13" t="s">
        <v>28</v>
      </c>
      <c r="D27" s="12" t="s">
        <v>100</v>
      </c>
      <c r="E27" s="13" t="s">
        <v>101</v>
      </c>
      <c r="F27" s="13" t="s">
        <v>53</v>
      </c>
      <c r="G27" s="13">
        <v>2025.0</v>
      </c>
      <c r="H27" s="17" t="str">
        <f t="shared" si="1"/>
        <v>✓</v>
      </c>
      <c r="I27" s="18">
        <v>2025.0</v>
      </c>
      <c r="J27" s="22">
        <v>1.0</v>
      </c>
      <c r="K27" s="2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3" t="s">
        <v>14</v>
      </c>
      <c r="C28" s="13" t="s">
        <v>28</v>
      </c>
      <c r="D28" s="12" t="s">
        <v>102</v>
      </c>
      <c r="E28" s="13" t="s">
        <v>103</v>
      </c>
      <c r="F28" s="13" t="s">
        <v>48</v>
      </c>
      <c r="G28" s="13">
        <v>2025.0</v>
      </c>
      <c r="H28" s="17" t="str">
        <f t="shared" si="1"/>
        <v>✓</v>
      </c>
      <c r="I28" s="18">
        <v>2025.0</v>
      </c>
      <c r="J28" s="22">
        <v>1.0</v>
      </c>
      <c r="K28" s="2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3" t="s">
        <v>14</v>
      </c>
      <c r="C29" s="13" t="s">
        <v>28</v>
      </c>
      <c r="D29" s="12" t="s">
        <v>104</v>
      </c>
      <c r="E29" s="13" t="s">
        <v>105</v>
      </c>
      <c r="F29" s="13" t="s">
        <v>53</v>
      </c>
      <c r="G29" s="13">
        <v>2025.0</v>
      </c>
      <c r="H29" s="17" t="str">
        <f t="shared" si="1"/>
        <v>✓</v>
      </c>
      <c r="I29" s="18">
        <v>2025.0</v>
      </c>
      <c r="J29" s="22">
        <v>1.0</v>
      </c>
      <c r="K29" s="2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24.0</v>
      </c>
      <c r="B30" s="12" t="s">
        <v>14</v>
      </c>
      <c r="C30" s="12" t="s">
        <v>28</v>
      </c>
      <c r="D30" s="12" t="s">
        <v>106</v>
      </c>
      <c r="E30" s="12" t="s">
        <v>107</v>
      </c>
      <c r="F30" s="12" t="s">
        <v>108</v>
      </c>
      <c r="G30" s="15"/>
      <c r="H30" s="17" t="str">
        <f t="shared" si="1"/>
        <v>✓</v>
      </c>
      <c r="I30" s="18">
        <v>2025.0</v>
      </c>
      <c r="J30" s="20"/>
      <c r="K30" s="2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>
        <v>25.0</v>
      </c>
      <c r="B31" s="12" t="s">
        <v>14</v>
      </c>
      <c r="C31" s="12" t="s">
        <v>28</v>
      </c>
      <c r="D31" s="12" t="s">
        <v>109</v>
      </c>
      <c r="E31" s="12" t="s">
        <v>110</v>
      </c>
      <c r="F31" s="12" t="s">
        <v>111</v>
      </c>
      <c r="G31" s="15"/>
      <c r="H31" s="17" t="str">
        <f t="shared" si="1"/>
        <v>✓</v>
      </c>
      <c r="I31" s="18">
        <v>2025.0</v>
      </c>
      <c r="J31" s="20"/>
      <c r="K31" s="2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8.0"/>
    <col customWidth="1" min="4" max="4" width="19.25"/>
    <col customWidth="1" min="5" max="5" width="20.38"/>
    <col customWidth="1" min="6" max="6" width="37.38"/>
    <col customWidth="1" min="8" max="8" width="4.0"/>
    <col customWidth="1" min="9" max="9" width="8.25"/>
    <col customWidth="1" min="10" max="10" width="3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15</v>
      </c>
      <c r="D7" s="12" t="s">
        <v>16</v>
      </c>
      <c r="E7" s="12" t="s">
        <v>17</v>
      </c>
      <c r="F7" s="12" t="s">
        <v>18</v>
      </c>
      <c r="G7" s="15"/>
      <c r="H7" s="17" t="str">
        <f t="shared" ref="H7:H9" si="1">IF(I7&lt;&gt;"","✓","")</f>
        <v>✓</v>
      </c>
      <c r="I7" s="18">
        <v>2025.0</v>
      </c>
      <c r="J7" s="20"/>
      <c r="K7" s="2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32</v>
      </c>
      <c r="D8" s="12" t="s">
        <v>33</v>
      </c>
      <c r="E8" s="12" t="s">
        <v>34</v>
      </c>
      <c r="F8" s="12" t="s">
        <v>35</v>
      </c>
      <c r="G8" s="15"/>
      <c r="H8" s="17" t="str">
        <f t="shared" si="1"/>
        <v>✓</v>
      </c>
      <c r="I8" s="18">
        <v>2025.0</v>
      </c>
      <c r="J8" s="20"/>
      <c r="K8" s="2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32</v>
      </c>
      <c r="D9" s="12" t="s">
        <v>41</v>
      </c>
      <c r="E9" s="12" t="s">
        <v>42</v>
      </c>
      <c r="F9" s="12" t="s">
        <v>43</v>
      </c>
      <c r="G9" s="15"/>
      <c r="H9" s="17" t="str">
        <f t="shared" si="1"/>
        <v>✓</v>
      </c>
      <c r="I9" s="18">
        <v>2025.0</v>
      </c>
      <c r="J9" s="20"/>
      <c r="K9" s="2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19.88"/>
    <col customWidth="1" min="4" max="4" width="21.63"/>
    <col customWidth="1" min="5" max="5" width="20.63"/>
    <col customWidth="1" min="6" max="6" width="33.0"/>
    <col customWidth="1" min="8" max="8" width="4.63"/>
    <col customWidth="1" min="9" max="9" width="9.5"/>
    <col customWidth="1" min="10" max="10" width="3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4" t="s">
        <v>19</v>
      </c>
      <c r="C7" s="14" t="s">
        <v>24</v>
      </c>
      <c r="D7" s="14" t="s">
        <v>25</v>
      </c>
      <c r="E7" s="14" t="s">
        <v>26</v>
      </c>
      <c r="F7" s="14" t="s">
        <v>27</v>
      </c>
      <c r="G7" s="16"/>
      <c r="H7" s="17" t="str">
        <f>IF(I7&lt;&gt;"","✓","")</f>
        <v>✓</v>
      </c>
      <c r="I7" s="19">
        <v>2025.0</v>
      </c>
      <c r="J7" s="16"/>
      <c r="K7" s="2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</sheetData>
  <mergeCells count="4">
    <mergeCell ref="A1:K1"/>
    <mergeCell ref="A2:K2"/>
    <mergeCell ref="A3:K3"/>
    <mergeCell ref="H6:I6"/>
  </mergeCells>
  <drawing r:id="rId1"/>
</worksheet>
</file>