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RAN KEMAS" sheetId="1" r:id="rId5"/>
    <sheet state="visible" name="SUKA DAMAI" sheetId="2" r:id="rId6"/>
    <sheet state="visible" name="DELIMA" sheetId="3" r:id="rId7"/>
  </sheets>
  <definedNames/>
  <calcPr/>
</workbook>
</file>

<file path=xl/sharedStrings.xml><?xml version="1.0" encoding="utf-8"?>
<sst xmlns="http://schemas.openxmlformats.org/spreadsheetml/2006/main" count="217" uniqueCount="111">
  <si>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</si>
  <si>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</si>
  <si>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</si>
  <si>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</si>
  <si>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</si>
  <si>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</si>
  <si>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</si>
  <si>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</si>
  <si>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</si>
  <si>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</si>
  <si>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</si>
  <si>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</si>
  <si>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</si>
  <si>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</si>
  <si>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TEBING TINGGI</t>
  </si>
  <si>
    <t>SUKA DAMAI</t>
  </si>
  <si>
    <t>ABU BAKAR</t>
  </si>
  <si>
    <t>DELIMA</t>
  </si>
  <si>
    <t>ANTON</t>
  </si>
  <si>
    <t>1506100512920002</t>
  </si>
  <si>
    <t>RT 17</t>
  </si>
  <si>
    <t>DATARAN KEMPAS</t>
  </si>
  <si>
    <t>AHMAD FADLI</t>
  </si>
  <si>
    <t>1506030506870001</t>
  </si>
  <si>
    <t>JL. KASWARI RT 1O DUSUN MEKAR SARI</t>
  </si>
  <si>
    <t>1506060104790001</t>
  </si>
  <si>
    <t>RT. 06</t>
  </si>
  <si>
    <t>AGUNG DAFRIAL</t>
  </si>
  <si>
    <t>1506063006960001</t>
  </si>
  <si>
    <t>RT 08</t>
  </si>
  <si>
    <t>AM SUPRIANTO</t>
  </si>
  <si>
    <t>1506021003990004</t>
  </si>
  <si>
    <t>ATMI</t>
  </si>
  <si>
    <t>1506064904550002</t>
  </si>
  <si>
    <t>RT. 09</t>
  </si>
  <si>
    <t>EDI PURNAMA TARIGAN</t>
  </si>
  <si>
    <t>1506061305880001</t>
  </si>
  <si>
    <t>RT 03</t>
  </si>
  <si>
    <t>KOMARIAH</t>
  </si>
  <si>
    <t>1506074208470001</t>
  </si>
  <si>
    <t>MUHAMMAD ALFIAN</t>
  </si>
  <si>
    <t>1506011507000003</t>
  </si>
  <si>
    <t>BUDI TRIONO</t>
  </si>
  <si>
    <t>RT 02</t>
  </si>
  <si>
    <t>3307050308980004</t>
  </si>
  <si>
    <t>RT. 02</t>
  </si>
  <si>
    <t>NASRUDIN</t>
  </si>
  <si>
    <t>MUBAYIN</t>
  </si>
  <si>
    <t>1506041501740001</t>
  </si>
  <si>
    <t>1506011005750002</t>
  </si>
  <si>
    <t>JL. JALAK RT 06 DUSUN MEKAR SARI</t>
  </si>
  <si>
    <t>DARMANTO</t>
  </si>
  <si>
    <t>1502151909880001</t>
  </si>
  <si>
    <t>RT. 08</t>
  </si>
  <si>
    <t>NANTAK</t>
  </si>
  <si>
    <t>1506062812890002</t>
  </si>
  <si>
    <t>JL. RAJAWALI RT 10 DUSUN MEKAR SARI</t>
  </si>
  <si>
    <t>DAUD</t>
  </si>
  <si>
    <t>3601350301580001</t>
  </si>
  <si>
    <t>AMINUDIN</t>
  </si>
  <si>
    <t>1610041108920001</t>
  </si>
  <si>
    <t>RUSTAM</t>
  </si>
  <si>
    <t>FEBRI SINOYO</t>
  </si>
  <si>
    <t>JL. KACER RT. 11</t>
  </si>
  <si>
    <t>1506060505790002</t>
  </si>
  <si>
    <t>1208160308920001</t>
  </si>
  <si>
    <t>SISKA RANI</t>
  </si>
  <si>
    <t>1506064404980004</t>
  </si>
  <si>
    <t>HERMAWAN</t>
  </si>
  <si>
    <t>1809074611850002</t>
  </si>
  <si>
    <t>SUGIMAN</t>
  </si>
  <si>
    <t>3521110402400001</t>
  </si>
  <si>
    <t>RT 06</t>
  </si>
  <si>
    <t>MINYANTO</t>
  </si>
  <si>
    <t>3403062402850002</t>
  </si>
  <si>
    <t>RT. 03</t>
  </si>
  <si>
    <t>SUTIYAH</t>
  </si>
  <si>
    <t>1506064103560001</t>
  </si>
  <si>
    <t>DADI</t>
  </si>
  <si>
    <t>1506061508910002</t>
  </si>
  <si>
    <t>JL. KASWARI RT.10</t>
  </si>
  <si>
    <t>MISLI HERWAN</t>
  </si>
  <si>
    <t>1506030609910004</t>
  </si>
  <si>
    <t>RT. 05</t>
  </si>
  <si>
    <t>HIDAYATULLAH</t>
  </si>
  <si>
    <t>1506011610930001</t>
  </si>
  <si>
    <t>JL. CENDRAWASIH RT. 12</t>
  </si>
  <si>
    <t>SUROSO</t>
  </si>
  <si>
    <t>1205030104820002</t>
  </si>
  <si>
    <t>MINAH</t>
  </si>
  <si>
    <t>1506016005500001</t>
  </si>
  <si>
    <t>JL. KENARI RT. 04</t>
  </si>
  <si>
    <t>WAL AQBAL</t>
  </si>
  <si>
    <t>1504012711950002</t>
  </si>
  <si>
    <t>RT. 01</t>
  </si>
  <si>
    <t>NANANG SUKMANA</t>
  </si>
  <si>
    <t>1506011209900001</t>
  </si>
  <si>
    <t>JL. KASWARI RT. 12</t>
  </si>
  <si>
    <t>YUDA YAHYA SANTOSO</t>
  </si>
  <si>
    <t>1506060405000001</t>
  </si>
  <si>
    <t>ONASIH</t>
  </si>
  <si>
    <t>1506066008821001</t>
  </si>
  <si>
    <t>JL. RAJAWALI RT. 11</t>
  </si>
  <si>
    <t>SAYEM</t>
  </si>
  <si>
    <t>1506014303520002</t>
  </si>
  <si>
    <t>JL. GELATIK RT. 12</t>
  </si>
  <si>
    <t>SEPRIYANTO</t>
  </si>
  <si>
    <t>1504071509840002</t>
  </si>
  <si>
    <t>TUTIK AWALIYAH</t>
  </si>
  <si>
    <t>1506014301830002</t>
  </si>
  <si>
    <t>JL. GELATIK RT.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</si>
</sst>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4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3" fillId="0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9.38"/>
    <col customWidth="1" min="4" max="4" width="22.25"/>
    <col customWidth="1" min="5" max="5" width="21.13"/>
    <col customWidth="1" min="6" max="6" width="38.25"/>
    <col customWidth="1" min="8" max="8" width="4.63"/>
    <col customWidth="1" min="9" max="9" width="6.75"/>
    <col customWidth="1" min="10" max="10" width="3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21</v>
      </c>
      <c r="D7" s="13" t="s">
        <v>22</v>
      </c>
      <c r="E7" s="12" t="s">
        <v>23</v>
      </c>
      <c r="F7" s="12" t="s">
        <v>24</v>
      </c>
      <c r="G7" s="12">
        <v>2025.0</v>
      </c>
      <c r="H7" s="14" t="str">
        <f t="shared" ref="H7:H20" si="1">IF(I7&lt;&gt;"","✓","")</f>
        <v/>
      </c>
      <c r="I7" s="16"/>
      <c r="J7" s="17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1">
        <v>2.0</v>
      </c>
      <c r="B8" s="12" t="s">
        <v>14</v>
      </c>
      <c r="C8" s="12" t="s">
        <v>21</v>
      </c>
      <c r="D8" s="13" t="s">
        <v>30</v>
      </c>
      <c r="E8" s="12" t="s">
        <v>31</v>
      </c>
      <c r="F8" s="12" t="s">
        <v>24</v>
      </c>
      <c r="G8" s="12">
        <v>2025.0</v>
      </c>
      <c r="H8" s="14" t="str">
        <f t="shared" si="1"/>
        <v/>
      </c>
      <c r="I8" s="16"/>
      <c r="J8" s="17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21</v>
      </c>
      <c r="D9" s="13" t="s">
        <v>38</v>
      </c>
      <c r="E9" s="12" t="s">
        <v>39</v>
      </c>
      <c r="F9" s="12" t="s">
        <v>24</v>
      </c>
      <c r="G9" s="12">
        <v>2025.0</v>
      </c>
      <c r="H9" s="14" t="str">
        <f t="shared" si="1"/>
        <v/>
      </c>
      <c r="I9" s="16"/>
      <c r="J9" s="17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1">
        <v>4.0</v>
      </c>
      <c r="B10" s="12" t="s">
        <v>14</v>
      </c>
      <c r="C10" s="12" t="s">
        <v>21</v>
      </c>
      <c r="D10" s="13" t="s">
        <v>47</v>
      </c>
      <c r="E10" s="12" t="s">
        <v>49</v>
      </c>
      <c r="F10" s="12" t="s">
        <v>50</v>
      </c>
      <c r="G10" s="12">
        <v>2025.0</v>
      </c>
      <c r="H10" s="14" t="str">
        <f t="shared" si="1"/>
        <v/>
      </c>
      <c r="I10" s="16"/>
      <c r="J10" s="17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21</v>
      </c>
      <c r="D11" s="13" t="s">
        <v>54</v>
      </c>
      <c r="E11" s="12" t="s">
        <v>55</v>
      </c>
      <c r="F11" s="12" t="s">
        <v>56</v>
      </c>
      <c r="G11" s="12">
        <v>2025.0</v>
      </c>
      <c r="H11" s="14" t="str">
        <f t="shared" si="1"/>
        <v/>
      </c>
      <c r="I11" s="16"/>
      <c r="J11" s="17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1">
        <v>6.0</v>
      </c>
      <c r="B12" s="12" t="s">
        <v>14</v>
      </c>
      <c r="C12" s="12" t="s">
        <v>21</v>
      </c>
      <c r="D12" s="13" t="s">
        <v>59</v>
      </c>
      <c r="E12" s="12" t="s">
        <v>60</v>
      </c>
      <c r="F12" s="20" t="s">
        <v>63</v>
      </c>
      <c r="G12" s="12">
        <v>2026.0</v>
      </c>
      <c r="H12" s="14" t="str">
        <f t="shared" si="1"/>
        <v/>
      </c>
      <c r="I12" s="16"/>
      <c r="J12" s="17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1">
        <v>7.0</v>
      </c>
      <c r="B13" s="12" t="s">
        <v>14</v>
      </c>
      <c r="C13" s="12" t="s">
        <v>21</v>
      </c>
      <c r="D13" s="13" t="s">
        <v>78</v>
      </c>
      <c r="E13" s="12" t="s">
        <v>79</v>
      </c>
      <c r="F13" s="20" t="s">
        <v>80</v>
      </c>
      <c r="G13" s="12">
        <v>2026.0</v>
      </c>
      <c r="H13" s="14" t="str">
        <f t="shared" si="1"/>
        <v/>
      </c>
      <c r="I13" s="16"/>
      <c r="J13" s="17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1">
        <v>8.0</v>
      </c>
      <c r="B14" s="12" t="s">
        <v>14</v>
      </c>
      <c r="C14" s="12" t="s">
        <v>21</v>
      </c>
      <c r="D14" s="13" t="s">
        <v>84</v>
      </c>
      <c r="E14" s="12" t="s">
        <v>85</v>
      </c>
      <c r="F14" s="20" t="s">
        <v>86</v>
      </c>
      <c r="G14" s="12">
        <v>2026.0</v>
      </c>
      <c r="H14" s="14" t="str">
        <f t="shared" si="1"/>
        <v/>
      </c>
      <c r="I14" s="16"/>
      <c r="J14" s="17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1">
        <v>9.0</v>
      </c>
      <c r="B15" s="12" t="s">
        <v>14</v>
      </c>
      <c r="C15" s="12" t="s">
        <v>21</v>
      </c>
      <c r="D15" s="13" t="s">
        <v>89</v>
      </c>
      <c r="E15" s="12" t="s">
        <v>90</v>
      </c>
      <c r="F15" s="20" t="s">
        <v>91</v>
      </c>
      <c r="G15" s="12">
        <v>2026.0</v>
      </c>
      <c r="H15" s="14" t="str">
        <f t="shared" si="1"/>
        <v/>
      </c>
      <c r="I15" s="16"/>
      <c r="J15" s="17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1">
        <v>10.0</v>
      </c>
      <c r="B16" s="12" t="s">
        <v>14</v>
      </c>
      <c r="C16" s="12" t="s">
        <v>21</v>
      </c>
      <c r="D16" s="13" t="s">
        <v>95</v>
      </c>
      <c r="E16" s="12" t="s">
        <v>96</v>
      </c>
      <c r="F16" s="20" t="s">
        <v>97</v>
      </c>
      <c r="G16" s="12">
        <v>2026.0</v>
      </c>
      <c r="H16" s="14" t="str">
        <f t="shared" si="1"/>
        <v/>
      </c>
      <c r="I16" s="16"/>
      <c r="J16" s="17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1">
        <v>11.0</v>
      </c>
      <c r="B17" s="12" t="s">
        <v>14</v>
      </c>
      <c r="C17" s="12" t="s">
        <v>21</v>
      </c>
      <c r="D17" s="13" t="s">
        <v>100</v>
      </c>
      <c r="E17" s="12" t="s">
        <v>101</v>
      </c>
      <c r="F17" s="20" t="s">
        <v>102</v>
      </c>
      <c r="G17" s="12">
        <v>2026.0</v>
      </c>
      <c r="H17" s="14" t="str">
        <f t="shared" si="1"/>
        <v/>
      </c>
      <c r="I17" s="16"/>
      <c r="J17" s="17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1">
        <v>12.0</v>
      </c>
      <c r="B18" s="12" t="s">
        <v>14</v>
      </c>
      <c r="C18" s="12" t="s">
        <v>21</v>
      </c>
      <c r="D18" s="13" t="s">
        <v>103</v>
      </c>
      <c r="E18" s="12" t="s">
        <v>104</v>
      </c>
      <c r="F18" s="20" t="s">
        <v>105</v>
      </c>
      <c r="G18" s="12">
        <v>2026.0</v>
      </c>
      <c r="H18" s="14" t="str">
        <f t="shared" si="1"/>
        <v/>
      </c>
      <c r="I18" s="16"/>
      <c r="J18" s="17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>
        <v>13.0</v>
      </c>
      <c r="B19" s="12" t="s">
        <v>14</v>
      </c>
      <c r="C19" s="12" t="s">
        <v>21</v>
      </c>
      <c r="D19" s="13" t="s">
        <v>106</v>
      </c>
      <c r="E19" s="12" t="s">
        <v>107</v>
      </c>
      <c r="F19" s="20" t="s">
        <v>91</v>
      </c>
      <c r="G19" s="12">
        <v>2026.0</v>
      </c>
      <c r="H19" s="14" t="str">
        <f t="shared" si="1"/>
        <v/>
      </c>
      <c r="I19" s="16"/>
      <c r="J19" s="17"/>
      <c r="K19" s="1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1">
        <v>14.0</v>
      </c>
      <c r="B20" s="12" t="s">
        <v>14</v>
      </c>
      <c r="C20" s="12" t="s">
        <v>21</v>
      </c>
      <c r="D20" s="13" t="s">
        <v>108</v>
      </c>
      <c r="E20" s="12" t="s">
        <v>109</v>
      </c>
      <c r="F20" s="20" t="s">
        <v>110</v>
      </c>
      <c r="G20" s="12">
        <v>2026.0</v>
      </c>
      <c r="H20" s="14" t="str">
        <f t="shared" si="1"/>
        <v/>
      </c>
      <c r="I20" s="16"/>
      <c r="J20" s="17"/>
      <c r="K20" s="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9.38"/>
    <col customWidth="1" min="4" max="4" width="22.25"/>
    <col customWidth="1" min="5" max="5" width="21.13"/>
    <col customWidth="1" min="6" max="6" width="38.25"/>
    <col customWidth="1" min="8" max="8" width="4.63"/>
    <col customWidth="1" min="9" max="9" width="6.75"/>
    <col customWidth="1" min="10" max="10" width="3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16</v>
      </c>
      <c r="E7" s="12" t="s">
        <v>19</v>
      </c>
      <c r="F7" s="12" t="s">
        <v>20</v>
      </c>
      <c r="G7" s="12">
        <v>2025.0</v>
      </c>
      <c r="H7" s="14" t="str">
        <f t="shared" ref="H7:H15" si="1">IF(I7&lt;&gt;"","✓","")</f>
        <v>✓</v>
      </c>
      <c r="I7" s="15">
        <v>2025.0</v>
      </c>
      <c r="J7" s="18">
        <v>1.0</v>
      </c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15</v>
      </c>
      <c r="D8" s="13" t="s">
        <v>27</v>
      </c>
      <c r="E8" s="12" t="s">
        <v>28</v>
      </c>
      <c r="F8" s="12" t="s">
        <v>29</v>
      </c>
      <c r="G8" s="12">
        <v>2025.0</v>
      </c>
      <c r="H8" s="14" t="str">
        <f t="shared" si="1"/>
        <v/>
      </c>
      <c r="I8" s="16"/>
      <c r="J8" s="17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35</v>
      </c>
      <c r="E9" s="12" t="s">
        <v>36</v>
      </c>
      <c r="F9" s="12" t="s">
        <v>37</v>
      </c>
      <c r="G9" s="12">
        <v>2025.0</v>
      </c>
      <c r="H9" s="14" t="str">
        <f t="shared" si="1"/>
        <v/>
      </c>
      <c r="I9" s="16"/>
      <c r="J9" s="17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15</v>
      </c>
      <c r="D10" s="13" t="s">
        <v>40</v>
      </c>
      <c r="E10" s="12" t="s">
        <v>41</v>
      </c>
      <c r="F10" s="12" t="s">
        <v>43</v>
      </c>
      <c r="G10" s="12">
        <v>2025.0</v>
      </c>
      <c r="H10" s="14" t="str">
        <f t="shared" si="1"/>
        <v/>
      </c>
      <c r="I10" s="16"/>
      <c r="J10" s="17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3" t="s">
        <v>46</v>
      </c>
      <c r="E11" s="12" t="s">
        <v>48</v>
      </c>
      <c r="F11" s="12" t="s">
        <v>20</v>
      </c>
      <c r="G11" s="12">
        <v>2025.0</v>
      </c>
      <c r="H11" s="14" t="str">
        <f t="shared" si="1"/>
        <v>✓</v>
      </c>
      <c r="I11" s="15">
        <v>2025.0</v>
      </c>
      <c r="J11" s="18">
        <v>1.0</v>
      </c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15</v>
      </c>
      <c r="D12" s="13" t="s">
        <v>61</v>
      </c>
      <c r="E12" s="12" t="s">
        <v>64</v>
      </c>
      <c r="F12" s="12" t="s">
        <v>20</v>
      </c>
      <c r="G12" s="12">
        <v>2025.0</v>
      </c>
      <c r="H12" s="14" t="str">
        <f t="shared" si="1"/>
        <v>✓</v>
      </c>
      <c r="I12" s="15">
        <v>2025.0</v>
      </c>
      <c r="J12" s="18">
        <v>1.0</v>
      </c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15</v>
      </c>
      <c r="D13" s="13" t="s">
        <v>66</v>
      </c>
      <c r="E13" s="12" t="s">
        <v>67</v>
      </c>
      <c r="F13" s="12" t="s">
        <v>20</v>
      </c>
      <c r="G13" s="12">
        <v>2025.0</v>
      </c>
      <c r="H13" s="14" t="str">
        <f t="shared" si="1"/>
        <v/>
      </c>
      <c r="I13" s="16"/>
      <c r="J13" s="17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15</v>
      </c>
      <c r="D14" s="13" t="s">
        <v>70</v>
      </c>
      <c r="E14" s="12" t="s">
        <v>71</v>
      </c>
      <c r="F14" s="12" t="s">
        <v>72</v>
      </c>
      <c r="G14" s="12">
        <v>2025.0</v>
      </c>
      <c r="H14" s="14" t="str">
        <f t="shared" si="1"/>
        <v>✓</v>
      </c>
      <c r="I14" s="15">
        <v>2025.0</v>
      </c>
      <c r="J14" s="18">
        <v>1.0</v>
      </c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15</v>
      </c>
      <c r="D15" s="13" t="s">
        <v>76</v>
      </c>
      <c r="E15" s="12" t="s">
        <v>77</v>
      </c>
      <c r="F15" s="12" t="s">
        <v>20</v>
      </c>
      <c r="G15" s="12">
        <v>2025.0</v>
      </c>
      <c r="H15" s="14" t="str">
        <f t="shared" si="1"/>
        <v/>
      </c>
      <c r="I15" s="16"/>
      <c r="J15" s="17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</sheetData>
  <mergeCells count="4">
    <mergeCell ref="A1:K1"/>
    <mergeCell ref="A2:K2"/>
    <mergeCell ref="A3:K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9.38"/>
    <col customWidth="1" min="4" max="4" width="22.25"/>
    <col customWidth="1" min="5" max="5" width="21.13"/>
    <col customWidth="1" min="6" max="6" width="38.25"/>
    <col customWidth="1" min="8" max="8" width="4.63"/>
    <col customWidth="1" min="9" max="9" width="6.75"/>
    <col customWidth="1" min="10" max="10" width="3.0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17</v>
      </c>
      <c r="D7" s="13" t="s">
        <v>18</v>
      </c>
      <c r="E7" s="12" t="s">
        <v>25</v>
      </c>
      <c r="F7" s="12" t="s">
        <v>26</v>
      </c>
      <c r="G7" s="12">
        <v>2026.0</v>
      </c>
      <c r="H7" s="14" t="str">
        <f t="shared" ref="H7:H18" si="1">IF(I7&lt;&gt;"","✓","")</f>
        <v/>
      </c>
      <c r="I7" s="16"/>
      <c r="J7" s="17"/>
      <c r="K7" s="1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2" t="s">
        <v>14</v>
      </c>
      <c r="C8" s="12" t="s">
        <v>17</v>
      </c>
      <c r="D8" s="13" t="s">
        <v>32</v>
      </c>
      <c r="E8" s="12" t="s">
        <v>33</v>
      </c>
      <c r="F8" s="12" t="s">
        <v>34</v>
      </c>
      <c r="G8" s="12">
        <v>2026.0</v>
      </c>
      <c r="H8" s="14" t="str">
        <f t="shared" si="1"/>
        <v/>
      </c>
      <c r="I8" s="16"/>
      <c r="J8" s="17"/>
      <c r="K8" s="1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17</v>
      </c>
      <c r="D9" s="13" t="s">
        <v>42</v>
      </c>
      <c r="E9" s="12" t="s">
        <v>44</v>
      </c>
      <c r="F9" s="12" t="s">
        <v>45</v>
      </c>
      <c r="G9" s="12">
        <v>2026.0</v>
      </c>
      <c r="H9" s="14" t="str">
        <f t="shared" si="1"/>
        <v/>
      </c>
      <c r="I9" s="16"/>
      <c r="J9" s="17"/>
      <c r="K9" s="1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2" t="s">
        <v>14</v>
      </c>
      <c r="C10" s="12" t="s">
        <v>17</v>
      </c>
      <c r="D10" s="13" t="s">
        <v>51</v>
      </c>
      <c r="E10" s="12" t="s">
        <v>52</v>
      </c>
      <c r="F10" s="12" t="s">
        <v>53</v>
      </c>
      <c r="G10" s="12">
        <v>2026.0</v>
      </c>
      <c r="H10" s="14" t="str">
        <f t="shared" si="1"/>
        <v/>
      </c>
      <c r="I10" s="16"/>
      <c r="J10" s="17"/>
      <c r="K10" s="1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17</v>
      </c>
      <c r="D11" s="13" t="s">
        <v>57</v>
      </c>
      <c r="E11" s="12" t="s">
        <v>58</v>
      </c>
      <c r="F11" s="12" t="s">
        <v>34</v>
      </c>
      <c r="G11" s="12">
        <v>2026.0</v>
      </c>
      <c r="H11" s="14" t="str">
        <f t="shared" si="1"/>
        <v/>
      </c>
      <c r="I11" s="16"/>
      <c r="J11" s="17"/>
      <c r="K11" s="1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0">
        <v>6.0</v>
      </c>
      <c r="B12" s="12" t="s">
        <v>14</v>
      </c>
      <c r="C12" s="12" t="s">
        <v>17</v>
      </c>
      <c r="D12" s="13" t="s">
        <v>62</v>
      </c>
      <c r="E12" s="12" t="s">
        <v>65</v>
      </c>
      <c r="F12" s="12" t="s">
        <v>34</v>
      </c>
      <c r="G12" s="12">
        <v>2026.0</v>
      </c>
      <c r="H12" s="14" t="str">
        <f t="shared" si="1"/>
        <v/>
      </c>
      <c r="I12" s="16"/>
      <c r="J12" s="17"/>
      <c r="K12" s="1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2" t="s">
        <v>14</v>
      </c>
      <c r="C13" s="12" t="s">
        <v>17</v>
      </c>
      <c r="D13" s="13" t="s">
        <v>68</v>
      </c>
      <c r="E13" s="12" t="s">
        <v>69</v>
      </c>
      <c r="F13" s="12" t="s">
        <v>45</v>
      </c>
      <c r="G13" s="12">
        <v>2026.0</v>
      </c>
      <c r="H13" s="14" t="str">
        <f t="shared" si="1"/>
        <v/>
      </c>
      <c r="I13" s="16"/>
      <c r="J13" s="17"/>
      <c r="K13" s="1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0">
        <v>8.0</v>
      </c>
      <c r="B14" s="12" t="s">
        <v>14</v>
      </c>
      <c r="C14" s="12" t="s">
        <v>17</v>
      </c>
      <c r="D14" s="13" t="s">
        <v>73</v>
      </c>
      <c r="E14" s="12" t="s">
        <v>74</v>
      </c>
      <c r="F14" s="12" t="s">
        <v>75</v>
      </c>
      <c r="G14" s="12">
        <v>2026.0</v>
      </c>
      <c r="H14" s="14" t="str">
        <f t="shared" si="1"/>
        <v/>
      </c>
      <c r="I14" s="16"/>
      <c r="J14" s="17"/>
      <c r="K14" s="1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2" t="s">
        <v>14</v>
      </c>
      <c r="C15" s="12" t="s">
        <v>17</v>
      </c>
      <c r="D15" s="13" t="s">
        <v>81</v>
      </c>
      <c r="E15" s="12" t="s">
        <v>82</v>
      </c>
      <c r="F15" s="12" t="s">
        <v>83</v>
      </c>
      <c r="G15" s="12">
        <v>2026.0</v>
      </c>
      <c r="H15" s="14" t="str">
        <f t="shared" si="1"/>
        <v/>
      </c>
      <c r="I15" s="16"/>
      <c r="J15" s="17"/>
      <c r="K15" s="1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0">
        <v>10.0</v>
      </c>
      <c r="B16" s="12" t="s">
        <v>14</v>
      </c>
      <c r="C16" s="12" t="s">
        <v>17</v>
      </c>
      <c r="D16" s="13" t="s">
        <v>87</v>
      </c>
      <c r="E16" s="12" t="s">
        <v>88</v>
      </c>
      <c r="F16" s="12" t="s">
        <v>75</v>
      </c>
      <c r="G16" s="12">
        <v>2026.0</v>
      </c>
      <c r="H16" s="14" t="str">
        <f t="shared" si="1"/>
        <v/>
      </c>
      <c r="I16" s="16"/>
      <c r="J16" s="17"/>
      <c r="K16" s="1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2" t="s">
        <v>14</v>
      </c>
      <c r="C17" s="12" t="s">
        <v>17</v>
      </c>
      <c r="D17" s="13" t="s">
        <v>92</v>
      </c>
      <c r="E17" s="12" t="s">
        <v>93</v>
      </c>
      <c r="F17" s="12" t="s">
        <v>94</v>
      </c>
      <c r="G17" s="12">
        <v>2026.0</v>
      </c>
      <c r="H17" s="14" t="str">
        <f t="shared" si="1"/>
        <v/>
      </c>
      <c r="I17" s="16"/>
      <c r="J17" s="17"/>
      <c r="K17" s="1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0">
        <v>12.0</v>
      </c>
      <c r="B18" s="12" t="s">
        <v>14</v>
      </c>
      <c r="C18" s="12" t="s">
        <v>17</v>
      </c>
      <c r="D18" s="13" t="s">
        <v>98</v>
      </c>
      <c r="E18" s="12" t="s">
        <v>99</v>
      </c>
      <c r="F18" s="12" t="s">
        <v>83</v>
      </c>
      <c r="G18" s="12">
        <v>2026.0</v>
      </c>
      <c r="H18" s="14" t="str">
        <f t="shared" si="1"/>
        <v/>
      </c>
      <c r="I18" s="16"/>
      <c r="J18" s="17"/>
      <c r="K18" s="1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</sheetData>
  <mergeCells count="4">
    <mergeCell ref="A1:K1"/>
    <mergeCell ref="A2:K2"/>
    <mergeCell ref="A3:K3"/>
    <mergeCell ref="H6:I6"/>
  </mergeCells>
  <drawing r:id="rId1"/>
</worksheet>
</file>