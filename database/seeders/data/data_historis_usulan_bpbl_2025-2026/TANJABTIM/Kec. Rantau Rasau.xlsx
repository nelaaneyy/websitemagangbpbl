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RYA BAKTI" sheetId="1" r:id="rId5"/>
    <sheet state="visible" name="MARGA MULYA" sheetId="2" r:id="rId6"/>
    <sheet state="visible" name="PEMATANG MAYAN" sheetId="3" r:id="rId7"/>
    <sheet state="visible" name="RANTAU JAYA" sheetId="4" r:id="rId8"/>
    <sheet state="visible" name="RANTAU RASAU I" sheetId="5" r:id="rId9"/>
    <sheet state="visible" name="RANTAU RASAU II" sheetId="6" r:id="rId10"/>
    <sheet state="visible" name="SUNGAI DUSUN" sheetId="7" r:id="rId11"/>
    <sheet state="visible" name="TRI MULYA" sheetId="8" r:id="rId12"/>
  </sheets>
  <definedNames/>
  <calcPr/>
</workbook>
</file>

<file path=xl/sharedStrings.xml><?xml version="1.0" encoding="utf-8"?>
<sst xmlns="http://schemas.openxmlformats.org/spreadsheetml/2006/main" count="540" uniqueCount="242">
  <si>
    <t>REKAPITULASI USULAN DAN REALISASI PENERIMA BPBL PROVINSI JAMBI</t>
  </si>
  <si>
    <t>MELALUI KEGIATAN PLN (Sumber Dana APBN)</t>
  </si>
  <si>
    <t>TAHUN 2025-2026</t>
  </si>
  <si>
    <t>Kab/Kota</t>
  </si>
  <si>
    <t>: Kabupaten Tanjung Jabung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</si>
  <si>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</si>
  <si>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</si>
  <si>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</si>
  <si>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</si>
  <si>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</si>
  <si>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</si>
  <si>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</si>
  <si>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</si>
  <si>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</si>
  <si>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RANTAU RASAU</t>
  </si>
  <si>
    <t>KARYA BAKTI</t>
  </si>
  <si>
    <t>PEMATANG MAYAN</t>
  </si>
  <si>
    <t>RANTAU JAYA</t>
  </si>
  <si>
    <t>ABU BAKAR</t>
  </si>
  <si>
    <t>AGUS SETIAWAN</t>
  </si>
  <si>
    <t>AMIRUDIN</t>
  </si>
  <si>
    <t>1507041002800003</t>
  </si>
  <si>
    <t>RT 10</t>
  </si>
  <si>
    <t>1507042608890001</t>
  </si>
  <si>
    <t>1507041203870002</t>
  </si>
  <si>
    <t>RT 07 DUSUN II</t>
  </si>
  <si>
    <t>SK 26 RT 017 DUSUN SRI RAHAYU</t>
  </si>
  <si>
    <t>DAUD SULAIMAN</t>
  </si>
  <si>
    <t>1507040904970001</t>
  </si>
  <si>
    <t>ASHARI</t>
  </si>
  <si>
    <t>BEJO</t>
  </si>
  <si>
    <t>1607041810480001</t>
  </si>
  <si>
    <t>1507112803370001</t>
  </si>
  <si>
    <t>SK 26 RT 015 DUSUN SRI RAHAYU</t>
  </si>
  <si>
    <t>DEDI HARYONO</t>
  </si>
  <si>
    <t>1507044310590001</t>
  </si>
  <si>
    <t>MARGA MULYA</t>
  </si>
  <si>
    <t>BOIRAN</t>
  </si>
  <si>
    <t>1507041012960003</t>
  </si>
  <si>
    <t>EDI GUNAWAN</t>
  </si>
  <si>
    <t>RT 12 DUSUN III</t>
  </si>
  <si>
    <t>1507022408970001</t>
  </si>
  <si>
    <t>SK 26 RT 012 DUSUN SRI RAHAYU</t>
  </si>
  <si>
    <t>DEDI HERMANTO</t>
  </si>
  <si>
    <t>ABDUL</t>
  </si>
  <si>
    <t>1507042102910001</t>
  </si>
  <si>
    <t>RT 12</t>
  </si>
  <si>
    <t>1507040107520003</t>
  </si>
  <si>
    <t>RT.03 DUSUN 01</t>
  </si>
  <si>
    <t>DIAH AYU RAHMAWATI</t>
  </si>
  <si>
    <t>1507045802030002</t>
  </si>
  <si>
    <t>JIWANTO</t>
  </si>
  <si>
    <t>HARTONO</t>
  </si>
  <si>
    <t>RT 10 DUSUN III</t>
  </si>
  <si>
    <t>1507041507730026</t>
  </si>
  <si>
    <t>1507041706900002</t>
  </si>
  <si>
    <t>RT 13</t>
  </si>
  <si>
    <t>SK 26 RT 013 DUSUN SRI RAHAYU</t>
  </si>
  <si>
    <t>HARIYADI</t>
  </si>
  <si>
    <t>1507041109930001</t>
  </si>
  <si>
    <t>RT 08 DUSUN II</t>
  </si>
  <si>
    <t>IMAM SODIKIN</t>
  </si>
  <si>
    <t>1507022308960001</t>
  </si>
  <si>
    <t>KADIRIN</t>
  </si>
  <si>
    <t>1507041507370024</t>
  </si>
  <si>
    <t>HARTO</t>
  </si>
  <si>
    <t>1507042905780002</t>
  </si>
  <si>
    <t>RT 05 DUSUN II</t>
  </si>
  <si>
    <t>ISKANDAR</t>
  </si>
  <si>
    <t>1507042405950002</t>
  </si>
  <si>
    <t>RT 05</t>
  </si>
  <si>
    <t>HENDRA PRASETYO</t>
  </si>
  <si>
    <t>JUMIYEM</t>
  </si>
  <si>
    <t>2171123103899004</t>
  </si>
  <si>
    <t>1506054608580001</t>
  </si>
  <si>
    <t>MISRAH</t>
  </si>
  <si>
    <t>KASMI</t>
  </si>
  <si>
    <t>1507045506420002</t>
  </si>
  <si>
    <t>RT 14</t>
  </si>
  <si>
    <t>1507045507420024</t>
  </si>
  <si>
    <t>AMINAH</t>
  </si>
  <si>
    <t>JHONNY ISKANDAR</t>
  </si>
  <si>
    <t>1507044702470001</t>
  </si>
  <si>
    <t>1505011805920003</t>
  </si>
  <si>
    <t>RT 01 DUSUN I</t>
  </si>
  <si>
    <t>RT.07 DUSUN 02</t>
  </si>
  <si>
    <t>MUHTARJI</t>
  </si>
  <si>
    <t>1507041406880001</t>
  </si>
  <si>
    <t>RT 09</t>
  </si>
  <si>
    <t>KOSNADI</t>
  </si>
  <si>
    <t>1507042209940003</t>
  </si>
  <si>
    <t>JOKO SUSILO</t>
  </si>
  <si>
    <t>1507040807940002</t>
  </si>
  <si>
    <t>RT 02 DUSUN I</t>
  </si>
  <si>
    <t>MUTOHAR</t>
  </si>
  <si>
    <t>1507041202830003</t>
  </si>
  <si>
    <t>RT 08</t>
  </si>
  <si>
    <t>ASIA</t>
  </si>
  <si>
    <t>1507045507530034</t>
  </si>
  <si>
    <t>NGATINI</t>
  </si>
  <si>
    <t>1507045507470042</t>
  </si>
  <si>
    <t>RIYANTO</t>
  </si>
  <si>
    <t>SK 26 RT 016 DUSUN SRI RAHAYU</t>
  </si>
  <si>
    <t>1507040306820002</t>
  </si>
  <si>
    <t>NAZRI</t>
  </si>
  <si>
    <t>1507042911930004</t>
  </si>
  <si>
    <t>PARYONO</t>
  </si>
  <si>
    <t>SITI ASIYAH</t>
  </si>
  <si>
    <t>RATNAWATI</t>
  </si>
  <si>
    <t>1507046712800001</t>
  </si>
  <si>
    <t>1507044705690002</t>
  </si>
  <si>
    <t>RT 07</t>
  </si>
  <si>
    <t>BENI</t>
  </si>
  <si>
    <t>1505030705150004</t>
  </si>
  <si>
    <t>RT.09 DUSUN 02</t>
  </si>
  <si>
    <t>SARBINI</t>
  </si>
  <si>
    <t>1507040707770001</t>
  </si>
  <si>
    <t>RIKI ARDIANSAH</t>
  </si>
  <si>
    <t>SOPIYAN</t>
  </si>
  <si>
    <t>RT 04</t>
  </si>
  <si>
    <t>1507042809000001</t>
  </si>
  <si>
    <t>1507040202630001</t>
  </si>
  <si>
    <t>SK 24 RT 004 DUSUN SRI AGUNG</t>
  </si>
  <si>
    <t>1507041406840003</t>
  </si>
  <si>
    <t>SUPRIADI</t>
  </si>
  <si>
    <t>1507040501910001</t>
  </si>
  <si>
    <t>SUMIATI</t>
  </si>
  <si>
    <t>RT 11 DUSUN III</t>
  </si>
  <si>
    <t>1507046912740001</t>
  </si>
  <si>
    <t>JUFRI HERMANSYAH</t>
  </si>
  <si>
    <t>1507040404940001</t>
  </si>
  <si>
    <t>RT.08 DUSUN 03</t>
  </si>
  <si>
    <t>SIGIT WAHYUDI</t>
  </si>
  <si>
    <t>1507042308920002</t>
  </si>
  <si>
    <t>SUPRIOTO</t>
  </si>
  <si>
    <t>1507041502870003</t>
  </si>
  <si>
    <t>SUMIJAN</t>
  </si>
  <si>
    <t>1507041507620023</t>
  </si>
  <si>
    <t>SURAHMI</t>
  </si>
  <si>
    <t>1507041507830002</t>
  </si>
  <si>
    <t>RT 02</t>
  </si>
  <si>
    <t>KEMAN S</t>
  </si>
  <si>
    <t>1507041312550001</t>
  </si>
  <si>
    <t>RT.02 DUSUN 01</t>
  </si>
  <si>
    <t>TASORI</t>
  </si>
  <si>
    <t>1507041507570038</t>
  </si>
  <si>
    <t>SUSANTO</t>
  </si>
  <si>
    <t>1507041702850001</t>
  </si>
  <si>
    <t>SUSWO ADI</t>
  </si>
  <si>
    <t>LEMAN</t>
  </si>
  <si>
    <t>1507040206910002</t>
  </si>
  <si>
    <t>1507041802550002</t>
  </si>
  <si>
    <t>RT.07 DUSUN 03</t>
  </si>
  <si>
    <t>M ARIF</t>
  </si>
  <si>
    <t>1507012805830004</t>
  </si>
  <si>
    <t>MARYANI</t>
  </si>
  <si>
    <t>1507045204820004</t>
  </si>
  <si>
    <t>MISNAH</t>
  </si>
  <si>
    <t>1507044509620003</t>
  </si>
  <si>
    <t>RT.08 DUSUN 02</t>
  </si>
  <si>
    <t>RIAN ARIYANTO</t>
  </si>
  <si>
    <t>1507044307550001</t>
  </si>
  <si>
    <t>SUPRIYATI</t>
  </si>
  <si>
    <t>1507044107720002</t>
  </si>
  <si>
    <t>RT.01 DUSUN 01</t>
  </si>
  <si>
    <t>SURIPAH</t>
  </si>
  <si>
    <t>1507046701580001</t>
  </si>
  <si>
    <t>RT.06 DUSUN 01</t>
  </si>
  <si>
    <t>SYUKUR</t>
  </si>
  <si>
    <t>1507041208940002</t>
  </si>
  <si>
    <t>RT.08 DUSUN 04</t>
  </si>
  <si>
    <t>RANTAU RASAU 1</t>
  </si>
  <si>
    <t>KATIEM</t>
  </si>
  <si>
    <t>1507045301140001</t>
  </si>
  <si>
    <t>SK 25 RT 18</t>
  </si>
  <si>
    <t>SAMIK</t>
  </si>
  <si>
    <t>1507047005690001</t>
  </si>
  <si>
    <t>SK 21 RT 15</t>
  </si>
  <si>
    <t>SUPRIYADI</t>
  </si>
  <si>
    <t>1507041303970002</t>
  </si>
  <si>
    <t>SUWAMI</t>
  </si>
  <si>
    <t>1507044204510001</t>
  </si>
  <si>
    <t>SK 22 RT 10</t>
  </si>
  <si>
    <t>RANTAU RASAU II</t>
  </si>
  <si>
    <t>AMRIYANTO</t>
  </si>
  <si>
    <t>1507041708900005</t>
  </si>
  <si>
    <t>JL. HIDAYAT RT.15 DESA RANTAU RASAU II</t>
  </si>
  <si>
    <t>BAMBANG CIPTO HUSODO</t>
  </si>
  <si>
    <t>1507040806850004</t>
  </si>
  <si>
    <t>JL. DEWI SARTIKA RT.11 DESA RANTAU RASAU II</t>
  </si>
  <si>
    <t>DALINEM</t>
  </si>
  <si>
    <t>1507045507430015</t>
  </si>
  <si>
    <t>JL. DEWI SARTIKA RT.07 DESA RANTAU RASAU II</t>
  </si>
  <si>
    <t>EKO YUDI SANTOSO</t>
  </si>
  <si>
    <t>1507061912910001</t>
  </si>
  <si>
    <t>HENDRI</t>
  </si>
  <si>
    <t>1507042506680003</t>
  </si>
  <si>
    <t>JL. HIDAYAT RT.15 DESA RATAU RASAU II</t>
  </si>
  <si>
    <t>JUMARTI</t>
  </si>
  <si>
    <t>1507044906750001</t>
  </si>
  <si>
    <t>JL. DEWI SARTIKA RT.03 DESA RANTAU RASAU II</t>
  </si>
  <si>
    <t>RATNO</t>
  </si>
  <si>
    <t>1507042006870002</t>
  </si>
  <si>
    <t>JL. DEWI SARTIKA RT.10 DESA RANTAU RASAU II</t>
  </si>
  <si>
    <t>RUMI</t>
  </si>
  <si>
    <t>1507047112450004</t>
  </si>
  <si>
    <t>SADIYEM</t>
  </si>
  <si>
    <t>1507044107530001</t>
  </si>
  <si>
    <t>JL. HIDAYAT RT.05 DESA RANTAU RASAU II</t>
  </si>
  <si>
    <t>SALBIAH</t>
  </si>
  <si>
    <t>1507045507540021</t>
  </si>
  <si>
    <t>SANADI</t>
  </si>
  <si>
    <t>SARMAN</t>
  </si>
  <si>
    <t>1507045808690003</t>
  </si>
  <si>
    <t>YANDRE APRIANSAH</t>
  </si>
  <si>
    <t>1507040604030004</t>
  </si>
  <si>
    <t>JL. JENDERAL SUDIRMAN RT. 10</t>
  </si>
  <si>
    <t>SUNGAI DUSUN</t>
  </si>
  <si>
    <t>ARISA</t>
  </si>
  <si>
    <t>1507042002480001</t>
  </si>
  <si>
    <t>SK 19 RT. 003</t>
  </si>
  <si>
    <t>ERMAN</t>
  </si>
  <si>
    <t>1507040507860002</t>
  </si>
  <si>
    <t>SK 22 RT. 003</t>
  </si>
  <si>
    <t>1507040604860001</t>
  </si>
  <si>
    <t>SK 16 RT. 002</t>
  </si>
  <si>
    <t>RUSTAM</t>
  </si>
  <si>
    <t>1507042603870004</t>
  </si>
  <si>
    <t>TAMERAK</t>
  </si>
  <si>
    <t>1507045507480012</t>
  </si>
  <si>
    <t>SK 12 RT. 004</t>
  </si>
  <si>
    <t>TRI MULYA</t>
  </si>
  <si>
    <t>ARIF ALDIANTO</t>
  </si>
  <si>
    <t>1507043011980001</t>
  </si>
  <si>
    <t>RT 02 DUSUN IV SUKA TANI</t>
  </si>
  <si>
    <t>GUNAWAN</t>
  </si>
  <si>
    <t>1507040802860004</t>
  </si>
  <si>
    <t>HERU WIBOWO</t>
  </si>
  <si>
    <t>1507043103950001</t>
  </si>
  <si>
    <t>RT 02 DUSUN II BANGUN MULYA</t>
  </si>
  <si>
    <t>IBRAHIM MUHAMMAD</t>
  </si>
  <si>
    <t>5207061204730001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</si>
</sst>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22.63"/>
    <col customWidth="1" min="4" max="4" width="26.25"/>
    <col customWidth="1" min="5" max="5" width="24.13"/>
    <col customWidth="1" min="6" max="6" width="24.63"/>
    <col customWidth="1" min="8" max="8" width="5.13"/>
    <col customWidth="1" min="9" max="9" width="9.38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15</v>
      </c>
      <c r="D7" s="14" t="s">
        <v>18</v>
      </c>
      <c r="E7" s="13" t="s">
        <v>21</v>
      </c>
      <c r="F7" s="13" t="s">
        <v>22</v>
      </c>
      <c r="G7" s="14">
        <v>2026.0</v>
      </c>
      <c r="H7" s="15" t="str">
        <f t="shared" ref="H7:H25" si="1">IF(I7&lt;&gt;"","✓","")</f>
        <v/>
      </c>
      <c r="I7" s="17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15</v>
      </c>
      <c r="D8" s="14" t="s">
        <v>27</v>
      </c>
      <c r="E8" s="13" t="s">
        <v>28</v>
      </c>
      <c r="F8" s="13" t="s">
        <v>22</v>
      </c>
      <c r="G8" s="14">
        <v>2026.0</v>
      </c>
      <c r="H8" s="15" t="str">
        <f t="shared" si="1"/>
        <v/>
      </c>
      <c r="I8" s="17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15</v>
      </c>
      <c r="D9" s="14" t="s">
        <v>34</v>
      </c>
      <c r="E9" s="13" t="s">
        <v>35</v>
      </c>
      <c r="F9" s="13" t="s">
        <v>22</v>
      </c>
      <c r="G9" s="14">
        <v>2026.0</v>
      </c>
      <c r="H9" s="15" t="str">
        <f t="shared" si="1"/>
        <v/>
      </c>
      <c r="I9" s="17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15</v>
      </c>
      <c r="D10" s="14" t="s">
        <v>43</v>
      </c>
      <c r="E10" s="13" t="s">
        <v>45</v>
      </c>
      <c r="F10" s="13" t="s">
        <v>46</v>
      </c>
      <c r="G10" s="14">
        <v>2026.0</v>
      </c>
      <c r="H10" s="15" t="str">
        <f t="shared" si="1"/>
        <v/>
      </c>
      <c r="I10" s="17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15</v>
      </c>
      <c r="D11" s="14" t="s">
        <v>52</v>
      </c>
      <c r="E11" s="13" t="s">
        <v>54</v>
      </c>
      <c r="F11" s="13" t="s">
        <v>56</v>
      </c>
      <c r="G11" s="14">
        <v>2026.0</v>
      </c>
      <c r="H11" s="15" t="str">
        <f t="shared" si="1"/>
        <v/>
      </c>
      <c r="I11" s="17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9" t="s">
        <v>14</v>
      </c>
      <c r="C12" s="13" t="s">
        <v>15</v>
      </c>
      <c r="D12" s="14" t="s">
        <v>61</v>
      </c>
      <c r="E12" s="13" t="s">
        <v>62</v>
      </c>
      <c r="F12" s="13" t="s">
        <v>46</v>
      </c>
      <c r="G12" s="14">
        <v>2026.0</v>
      </c>
      <c r="H12" s="15" t="str">
        <f t="shared" si="1"/>
        <v/>
      </c>
      <c r="I12" s="17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15</v>
      </c>
      <c r="D13" s="14" t="s">
        <v>68</v>
      </c>
      <c r="E13" s="13" t="s">
        <v>69</v>
      </c>
      <c r="F13" s="13" t="s">
        <v>70</v>
      </c>
      <c r="G13" s="14">
        <v>2026.0</v>
      </c>
      <c r="H13" s="15" t="str">
        <f t="shared" si="1"/>
        <v/>
      </c>
      <c r="I13" s="17"/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15</v>
      </c>
      <c r="D14" s="14" t="s">
        <v>72</v>
      </c>
      <c r="E14" s="13" t="s">
        <v>74</v>
      </c>
      <c r="F14" s="13" t="s">
        <v>46</v>
      </c>
      <c r="G14" s="14">
        <v>2026.0</v>
      </c>
      <c r="H14" s="15" t="str">
        <f t="shared" si="1"/>
        <v/>
      </c>
      <c r="I14" s="17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3" t="s">
        <v>15</v>
      </c>
      <c r="D15" s="14" t="s">
        <v>75</v>
      </c>
      <c r="E15" s="13" t="s">
        <v>77</v>
      </c>
      <c r="F15" s="13" t="s">
        <v>78</v>
      </c>
      <c r="G15" s="14">
        <v>2026.0</v>
      </c>
      <c r="H15" s="15" t="str">
        <f t="shared" si="1"/>
        <v/>
      </c>
      <c r="I15" s="17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3" t="s">
        <v>15</v>
      </c>
      <c r="D16" s="14" t="s">
        <v>86</v>
      </c>
      <c r="E16" s="13" t="s">
        <v>87</v>
      </c>
      <c r="F16" s="13" t="s">
        <v>88</v>
      </c>
      <c r="G16" s="14">
        <v>2026.0</v>
      </c>
      <c r="H16" s="15" t="str">
        <f t="shared" si="1"/>
        <v/>
      </c>
      <c r="I16" s="17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3" t="s">
        <v>15</v>
      </c>
      <c r="D17" s="14" t="s">
        <v>94</v>
      </c>
      <c r="E17" s="13" t="s">
        <v>95</v>
      </c>
      <c r="F17" s="13" t="s">
        <v>96</v>
      </c>
      <c r="G17" s="14">
        <v>2026.0</v>
      </c>
      <c r="H17" s="15" t="str">
        <f t="shared" si="1"/>
        <v/>
      </c>
      <c r="I17" s="17"/>
      <c r="J17" s="17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3" t="s">
        <v>14</v>
      </c>
      <c r="C18" s="13" t="s">
        <v>15</v>
      </c>
      <c r="D18" s="14" t="s">
        <v>104</v>
      </c>
      <c r="E18" s="13" t="s">
        <v>105</v>
      </c>
      <c r="F18" s="13" t="s">
        <v>46</v>
      </c>
      <c r="G18" s="14">
        <v>2026.0</v>
      </c>
      <c r="H18" s="15" t="str">
        <f t="shared" si="1"/>
        <v/>
      </c>
      <c r="I18" s="17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3" t="s">
        <v>14</v>
      </c>
      <c r="C19" s="13" t="s">
        <v>15</v>
      </c>
      <c r="D19" s="14" t="s">
        <v>108</v>
      </c>
      <c r="E19" s="13" t="s">
        <v>110</v>
      </c>
      <c r="F19" s="13" t="s">
        <v>111</v>
      </c>
      <c r="G19" s="14">
        <v>2026.0</v>
      </c>
      <c r="H19" s="15" t="str">
        <f t="shared" si="1"/>
        <v/>
      </c>
      <c r="I19" s="17"/>
      <c r="J19" s="17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3" t="s">
        <v>14</v>
      </c>
      <c r="C20" s="13" t="s">
        <v>15</v>
      </c>
      <c r="D20" s="14" t="s">
        <v>115</v>
      </c>
      <c r="E20" s="13" t="s">
        <v>116</v>
      </c>
      <c r="F20" s="13" t="s">
        <v>119</v>
      </c>
      <c r="G20" s="14">
        <v>2026.0</v>
      </c>
      <c r="H20" s="15" t="str">
        <f t="shared" si="1"/>
        <v/>
      </c>
      <c r="I20" s="17"/>
      <c r="J20" s="17"/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3" t="s">
        <v>15</v>
      </c>
      <c r="D21" s="14" t="s">
        <v>115</v>
      </c>
      <c r="E21" s="13" t="s">
        <v>123</v>
      </c>
      <c r="F21" s="13" t="s">
        <v>70</v>
      </c>
      <c r="G21" s="14">
        <v>2026.0</v>
      </c>
      <c r="H21" s="15" t="str">
        <f t="shared" si="1"/>
        <v/>
      </c>
      <c r="I21" s="16"/>
      <c r="J21" s="17"/>
      <c r="K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3" t="s">
        <v>14</v>
      </c>
      <c r="C22" s="13" t="s">
        <v>15</v>
      </c>
      <c r="D22" s="14" t="s">
        <v>132</v>
      </c>
      <c r="E22" s="13" t="s">
        <v>133</v>
      </c>
      <c r="F22" s="13" t="s">
        <v>56</v>
      </c>
      <c r="G22" s="14">
        <v>2026.0</v>
      </c>
      <c r="H22" s="15" t="str">
        <f t="shared" si="1"/>
        <v/>
      </c>
      <c r="I22" s="16"/>
      <c r="J22" s="17"/>
      <c r="K22" s="1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3" t="s">
        <v>14</v>
      </c>
      <c r="C23" s="13" t="s">
        <v>15</v>
      </c>
      <c r="D23" s="14" t="s">
        <v>138</v>
      </c>
      <c r="E23" s="13" t="s">
        <v>139</v>
      </c>
      <c r="F23" s="13" t="s">
        <v>140</v>
      </c>
      <c r="G23" s="14">
        <v>2026.0</v>
      </c>
      <c r="H23" s="15" t="str">
        <f t="shared" si="1"/>
        <v/>
      </c>
      <c r="I23" s="16"/>
      <c r="J23" s="17"/>
      <c r="K23" s="1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15</v>
      </c>
      <c r="D24" s="14" t="s">
        <v>146</v>
      </c>
      <c r="E24" s="13" t="s">
        <v>147</v>
      </c>
      <c r="F24" s="13" t="s">
        <v>46</v>
      </c>
      <c r="G24" s="14">
        <v>2026.0</v>
      </c>
      <c r="H24" s="15" t="str">
        <f t="shared" si="1"/>
        <v/>
      </c>
      <c r="I24" s="16"/>
      <c r="J24" s="17"/>
      <c r="K24" s="1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3" t="s">
        <v>15</v>
      </c>
      <c r="D25" s="14" t="s">
        <v>148</v>
      </c>
      <c r="E25" s="13" t="s">
        <v>150</v>
      </c>
      <c r="F25" s="13" t="s">
        <v>56</v>
      </c>
      <c r="G25" s="14">
        <v>2026.0</v>
      </c>
      <c r="H25" s="15" t="str">
        <f t="shared" si="1"/>
        <v/>
      </c>
      <c r="I25" s="16"/>
      <c r="J25" s="17"/>
      <c r="K25" s="1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22.63"/>
    <col customWidth="1" min="4" max="4" width="26.25"/>
    <col customWidth="1" min="5" max="5" width="24.13"/>
    <col customWidth="1" min="6" max="6" width="24.63"/>
    <col customWidth="1" min="8" max="8" width="5.13"/>
    <col customWidth="1" min="9" max="9" width="9.38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3" t="s">
        <v>14</v>
      </c>
      <c r="C7" s="13" t="s">
        <v>36</v>
      </c>
      <c r="D7" s="14" t="s">
        <v>44</v>
      </c>
      <c r="E7" s="13" t="s">
        <v>47</v>
      </c>
      <c r="F7" s="13" t="s">
        <v>48</v>
      </c>
      <c r="G7" s="14">
        <v>2026.0</v>
      </c>
      <c r="H7" s="15" t="str">
        <f t="shared" ref="H7:H20" si="1">IF(I7&lt;&gt;"","✓","")</f>
        <v/>
      </c>
      <c r="I7" s="16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3" t="s">
        <v>14</v>
      </c>
      <c r="C8" s="13" t="s">
        <v>36</v>
      </c>
      <c r="D8" s="14" t="s">
        <v>80</v>
      </c>
      <c r="E8" s="13" t="s">
        <v>82</v>
      </c>
      <c r="F8" s="13" t="s">
        <v>85</v>
      </c>
      <c r="G8" s="14">
        <v>2026.0</v>
      </c>
      <c r="H8" s="15" t="str">
        <f t="shared" si="1"/>
        <v/>
      </c>
      <c r="I8" s="16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3" t="s">
        <v>14</v>
      </c>
      <c r="C9" s="13" t="s">
        <v>36</v>
      </c>
      <c r="D9" s="14" t="s">
        <v>97</v>
      </c>
      <c r="E9" s="13" t="s">
        <v>98</v>
      </c>
      <c r="F9" s="13" t="s">
        <v>48</v>
      </c>
      <c r="G9" s="14">
        <v>2026.0</v>
      </c>
      <c r="H9" s="15" t="str">
        <f t="shared" si="1"/>
        <v/>
      </c>
      <c r="I9" s="16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13" t="s">
        <v>14</v>
      </c>
      <c r="C10" s="13" t="s">
        <v>36</v>
      </c>
      <c r="D10" s="14" t="s">
        <v>112</v>
      </c>
      <c r="E10" s="13" t="s">
        <v>113</v>
      </c>
      <c r="F10" s="13" t="s">
        <v>114</v>
      </c>
      <c r="G10" s="14">
        <v>2026.0</v>
      </c>
      <c r="H10" s="15" t="str">
        <f t="shared" si="1"/>
        <v/>
      </c>
      <c r="I10" s="16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13" t="s">
        <v>14</v>
      </c>
      <c r="C11" s="13" t="s">
        <v>36</v>
      </c>
      <c r="D11" s="14" t="s">
        <v>129</v>
      </c>
      <c r="E11" s="13" t="s">
        <v>130</v>
      </c>
      <c r="F11" s="13" t="s">
        <v>131</v>
      </c>
      <c r="G11" s="14">
        <v>2026.0</v>
      </c>
      <c r="H11" s="15" t="str">
        <f t="shared" si="1"/>
        <v/>
      </c>
      <c r="I11" s="16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13" t="s">
        <v>14</v>
      </c>
      <c r="C12" s="13" t="s">
        <v>36</v>
      </c>
      <c r="D12" s="14" t="s">
        <v>141</v>
      </c>
      <c r="E12" s="13" t="s">
        <v>142</v>
      </c>
      <c r="F12" s="13" t="s">
        <v>143</v>
      </c>
      <c r="G12" s="14">
        <v>2026.0</v>
      </c>
      <c r="H12" s="15" t="str">
        <f t="shared" si="1"/>
        <v/>
      </c>
      <c r="I12" s="16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>
        <v>7.0</v>
      </c>
      <c r="B13" s="13" t="s">
        <v>14</v>
      </c>
      <c r="C13" s="13" t="s">
        <v>36</v>
      </c>
      <c r="D13" s="14" t="s">
        <v>149</v>
      </c>
      <c r="E13" s="13" t="s">
        <v>151</v>
      </c>
      <c r="F13" s="13" t="s">
        <v>152</v>
      </c>
      <c r="G13" s="14">
        <v>2026.0</v>
      </c>
      <c r="H13" s="15" t="str">
        <f t="shared" si="1"/>
        <v/>
      </c>
      <c r="I13" s="16"/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8.0</v>
      </c>
      <c r="B14" s="13" t="s">
        <v>14</v>
      </c>
      <c r="C14" s="13" t="s">
        <v>36</v>
      </c>
      <c r="D14" s="14" t="s">
        <v>153</v>
      </c>
      <c r="E14" s="13" t="s">
        <v>154</v>
      </c>
      <c r="F14" s="13" t="s">
        <v>114</v>
      </c>
      <c r="G14" s="14">
        <v>2026.0</v>
      </c>
      <c r="H14" s="15" t="str">
        <f t="shared" si="1"/>
        <v/>
      </c>
      <c r="I14" s="16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2">
        <v>9.0</v>
      </c>
      <c r="B15" s="13" t="s">
        <v>14</v>
      </c>
      <c r="C15" s="13" t="s">
        <v>36</v>
      </c>
      <c r="D15" s="14" t="s">
        <v>155</v>
      </c>
      <c r="E15" s="13" t="s">
        <v>156</v>
      </c>
      <c r="F15" s="13" t="s">
        <v>114</v>
      </c>
      <c r="G15" s="14">
        <v>2026.0</v>
      </c>
      <c r="H15" s="15" t="str">
        <f t="shared" si="1"/>
        <v/>
      </c>
      <c r="I15" s="16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10.0</v>
      </c>
      <c r="B16" s="13" t="s">
        <v>14</v>
      </c>
      <c r="C16" s="13" t="s">
        <v>36</v>
      </c>
      <c r="D16" s="14" t="s">
        <v>157</v>
      </c>
      <c r="E16" s="13" t="s">
        <v>158</v>
      </c>
      <c r="F16" s="13" t="s">
        <v>159</v>
      </c>
      <c r="G16" s="14">
        <v>2026.0</v>
      </c>
      <c r="H16" s="15" t="str">
        <f t="shared" si="1"/>
        <v/>
      </c>
      <c r="I16" s="16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2">
        <v>11.0</v>
      </c>
      <c r="B17" s="13" t="s">
        <v>14</v>
      </c>
      <c r="C17" s="13" t="s">
        <v>36</v>
      </c>
      <c r="D17" s="14" t="s">
        <v>160</v>
      </c>
      <c r="E17" s="13" t="s">
        <v>161</v>
      </c>
      <c r="F17" s="13" t="s">
        <v>114</v>
      </c>
      <c r="G17" s="14">
        <v>2026.0</v>
      </c>
      <c r="H17" s="15" t="str">
        <f t="shared" si="1"/>
        <v/>
      </c>
      <c r="I17" s="16"/>
      <c r="J17" s="17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2">
        <v>12.0</v>
      </c>
      <c r="B18" s="13" t="s">
        <v>14</v>
      </c>
      <c r="C18" s="13" t="s">
        <v>36</v>
      </c>
      <c r="D18" s="14" t="s">
        <v>162</v>
      </c>
      <c r="E18" s="13" t="s">
        <v>163</v>
      </c>
      <c r="F18" s="13" t="s">
        <v>164</v>
      </c>
      <c r="G18" s="14">
        <v>2026.0</v>
      </c>
      <c r="H18" s="15" t="str">
        <f t="shared" si="1"/>
        <v/>
      </c>
      <c r="I18" s="16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2">
        <v>13.0</v>
      </c>
      <c r="B19" s="13" t="s">
        <v>14</v>
      </c>
      <c r="C19" s="13" t="s">
        <v>36</v>
      </c>
      <c r="D19" s="14" t="s">
        <v>165</v>
      </c>
      <c r="E19" s="13" t="s">
        <v>166</v>
      </c>
      <c r="F19" s="13" t="s">
        <v>167</v>
      </c>
      <c r="G19" s="14">
        <v>2026.0</v>
      </c>
      <c r="H19" s="15" t="str">
        <f t="shared" si="1"/>
        <v/>
      </c>
      <c r="I19" s="16"/>
      <c r="J19" s="17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2">
        <v>14.0</v>
      </c>
      <c r="B20" s="13" t="s">
        <v>14</v>
      </c>
      <c r="C20" s="13" t="s">
        <v>36</v>
      </c>
      <c r="D20" s="14" t="s">
        <v>168</v>
      </c>
      <c r="E20" s="13" t="s">
        <v>169</v>
      </c>
      <c r="F20" s="13" t="s">
        <v>170</v>
      </c>
      <c r="G20" s="14">
        <v>2026.0</v>
      </c>
      <c r="H20" s="15" t="str">
        <f t="shared" si="1"/>
        <v/>
      </c>
      <c r="I20" s="16"/>
      <c r="J20" s="17"/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22.63"/>
    <col customWidth="1" min="4" max="4" width="26.25"/>
    <col customWidth="1" min="5" max="5" width="24.13"/>
    <col customWidth="1" min="6" max="6" width="24.63"/>
    <col customWidth="1" min="8" max="8" width="5.13"/>
    <col customWidth="1" min="9" max="9" width="9.38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3" t="s">
        <v>14</v>
      </c>
      <c r="C7" s="13" t="s">
        <v>16</v>
      </c>
      <c r="D7" s="14" t="s">
        <v>19</v>
      </c>
      <c r="E7" s="13" t="s">
        <v>23</v>
      </c>
      <c r="F7" s="13" t="s">
        <v>25</v>
      </c>
      <c r="G7" s="14">
        <v>2026.0</v>
      </c>
      <c r="H7" s="15" t="str">
        <f t="shared" ref="H7:H20" si="1">IF(I7&lt;&gt;"","✓","")</f>
        <v/>
      </c>
      <c r="I7" s="16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3" t="s">
        <v>14</v>
      </c>
      <c r="C8" s="13" t="s">
        <v>16</v>
      </c>
      <c r="D8" s="14" t="s">
        <v>29</v>
      </c>
      <c r="E8" s="13" t="s">
        <v>31</v>
      </c>
      <c r="F8" s="13" t="s">
        <v>25</v>
      </c>
      <c r="G8" s="14">
        <v>2026.0</v>
      </c>
      <c r="H8" s="15" t="str">
        <f t="shared" si="1"/>
        <v/>
      </c>
      <c r="I8" s="16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3" t="s">
        <v>14</v>
      </c>
      <c r="C9" s="13" t="s">
        <v>16</v>
      </c>
      <c r="D9" s="14" t="s">
        <v>37</v>
      </c>
      <c r="E9" s="13" t="s">
        <v>38</v>
      </c>
      <c r="F9" s="13" t="s">
        <v>40</v>
      </c>
      <c r="G9" s="14">
        <v>2026.0</v>
      </c>
      <c r="H9" s="15" t="str">
        <f t="shared" si="1"/>
        <v/>
      </c>
      <c r="I9" s="16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13" t="s">
        <v>14</v>
      </c>
      <c r="C10" s="13" t="s">
        <v>16</v>
      </c>
      <c r="D10" s="14" t="s">
        <v>49</v>
      </c>
      <c r="E10" s="13" t="s">
        <v>50</v>
      </c>
      <c r="F10" s="13" t="s">
        <v>53</v>
      </c>
      <c r="G10" s="14">
        <v>2026.0</v>
      </c>
      <c r="H10" s="15" t="str">
        <f t="shared" si="1"/>
        <v/>
      </c>
      <c r="I10" s="16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13" t="s">
        <v>14</v>
      </c>
      <c r="C11" s="13" t="s">
        <v>16</v>
      </c>
      <c r="D11" s="14" t="s">
        <v>58</v>
      </c>
      <c r="E11" s="13" t="s">
        <v>59</v>
      </c>
      <c r="F11" s="13" t="s">
        <v>60</v>
      </c>
      <c r="G11" s="14">
        <v>2026.0</v>
      </c>
      <c r="H11" s="15" t="str">
        <f t="shared" si="1"/>
        <v/>
      </c>
      <c r="I11" s="16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13" t="s">
        <v>14</v>
      </c>
      <c r="C12" s="13" t="s">
        <v>16</v>
      </c>
      <c r="D12" s="14" t="s">
        <v>65</v>
      </c>
      <c r="E12" s="13" t="s">
        <v>66</v>
      </c>
      <c r="F12" s="13" t="s">
        <v>67</v>
      </c>
      <c r="G12" s="14">
        <v>2026.0</v>
      </c>
      <c r="H12" s="15" t="str">
        <f t="shared" si="1"/>
        <v/>
      </c>
      <c r="I12" s="16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>
        <v>7.0</v>
      </c>
      <c r="B13" s="13" t="s">
        <v>14</v>
      </c>
      <c r="C13" s="13" t="s">
        <v>16</v>
      </c>
      <c r="D13" s="14" t="s">
        <v>71</v>
      </c>
      <c r="E13" s="13" t="s">
        <v>73</v>
      </c>
      <c r="F13" s="13" t="s">
        <v>53</v>
      </c>
      <c r="G13" s="14">
        <v>2026.0</v>
      </c>
      <c r="H13" s="15" t="str">
        <f t="shared" si="1"/>
        <v/>
      </c>
      <c r="I13" s="16"/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8.0</v>
      </c>
      <c r="B14" s="13" t="s">
        <v>14</v>
      </c>
      <c r="C14" s="13" t="s">
        <v>16</v>
      </c>
      <c r="D14" s="14" t="s">
        <v>81</v>
      </c>
      <c r="E14" s="13" t="s">
        <v>83</v>
      </c>
      <c r="F14" s="13" t="s">
        <v>84</v>
      </c>
      <c r="G14" s="14">
        <v>2026.0</v>
      </c>
      <c r="H14" s="15" t="str">
        <f t="shared" si="1"/>
        <v/>
      </c>
      <c r="I14" s="16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2">
        <v>9.0</v>
      </c>
      <c r="B15" s="13" t="s">
        <v>14</v>
      </c>
      <c r="C15" s="13" t="s">
        <v>16</v>
      </c>
      <c r="D15" s="14" t="s">
        <v>91</v>
      </c>
      <c r="E15" s="13" t="s">
        <v>92</v>
      </c>
      <c r="F15" s="13" t="s">
        <v>93</v>
      </c>
      <c r="G15" s="14">
        <v>2026.0</v>
      </c>
      <c r="H15" s="15" t="str">
        <f t="shared" si="1"/>
        <v/>
      </c>
      <c r="I15" s="16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10.0</v>
      </c>
      <c r="B16" s="13" t="s">
        <v>14</v>
      </c>
      <c r="C16" s="13" t="s">
        <v>16</v>
      </c>
      <c r="D16" s="14" t="s">
        <v>101</v>
      </c>
      <c r="E16" s="13" t="s">
        <v>103</v>
      </c>
      <c r="F16" s="13" t="s">
        <v>40</v>
      </c>
      <c r="G16" s="14">
        <v>2026.0</v>
      </c>
      <c r="H16" s="15" t="str">
        <f t="shared" si="1"/>
        <v/>
      </c>
      <c r="I16" s="16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2">
        <v>11.0</v>
      </c>
      <c r="B17" s="13" t="s">
        <v>14</v>
      </c>
      <c r="C17" s="13" t="s">
        <v>16</v>
      </c>
      <c r="D17" s="14" t="s">
        <v>107</v>
      </c>
      <c r="E17" s="13" t="s">
        <v>109</v>
      </c>
      <c r="F17" s="13" t="s">
        <v>53</v>
      </c>
      <c r="G17" s="14">
        <v>2026.0</v>
      </c>
      <c r="H17" s="15" t="str">
        <f t="shared" si="1"/>
        <v/>
      </c>
      <c r="I17" s="16"/>
      <c r="J17" s="17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2">
        <v>12.0</v>
      </c>
      <c r="B18" s="13" t="s">
        <v>14</v>
      </c>
      <c r="C18" s="13" t="s">
        <v>16</v>
      </c>
      <c r="D18" s="14" t="s">
        <v>118</v>
      </c>
      <c r="E18" s="13" t="s">
        <v>121</v>
      </c>
      <c r="F18" s="13" t="s">
        <v>60</v>
      </c>
      <c r="G18" s="14">
        <v>2026.0</v>
      </c>
      <c r="H18" s="15" t="str">
        <f t="shared" si="1"/>
        <v/>
      </c>
      <c r="I18" s="16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2">
        <v>13.0</v>
      </c>
      <c r="B19" s="13" t="s">
        <v>14</v>
      </c>
      <c r="C19" s="13" t="s">
        <v>16</v>
      </c>
      <c r="D19" s="14" t="s">
        <v>124</v>
      </c>
      <c r="E19" s="13" t="s">
        <v>125</v>
      </c>
      <c r="F19" s="13" t="s">
        <v>127</v>
      </c>
      <c r="G19" s="14">
        <v>2026.0</v>
      </c>
      <c r="H19" s="15" t="str">
        <f t="shared" si="1"/>
        <v/>
      </c>
      <c r="I19" s="16"/>
      <c r="J19" s="17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2">
        <v>14.0</v>
      </c>
      <c r="B20" s="13" t="s">
        <v>14</v>
      </c>
      <c r="C20" s="13" t="s">
        <v>16</v>
      </c>
      <c r="D20" s="14" t="s">
        <v>134</v>
      </c>
      <c r="E20" s="13" t="s">
        <v>135</v>
      </c>
      <c r="F20" s="13" t="s">
        <v>93</v>
      </c>
      <c r="G20" s="14">
        <v>2026.0</v>
      </c>
      <c r="H20" s="15" t="str">
        <f t="shared" si="1"/>
        <v/>
      </c>
      <c r="I20" s="16"/>
      <c r="J20" s="17"/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22.63"/>
    <col customWidth="1" min="4" max="4" width="26.25"/>
    <col customWidth="1" min="5" max="5" width="24.13"/>
    <col customWidth="1" min="6" max="6" width="24.63"/>
    <col customWidth="1" min="8" max="8" width="5.13"/>
    <col customWidth="1" min="9" max="9" width="9.38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3" t="s">
        <v>14</v>
      </c>
      <c r="C7" s="13" t="s">
        <v>17</v>
      </c>
      <c r="D7" s="14" t="s">
        <v>20</v>
      </c>
      <c r="E7" s="13" t="s">
        <v>24</v>
      </c>
      <c r="F7" s="13" t="s">
        <v>26</v>
      </c>
      <c r="G7" s="14">
        <v>2026.0</v>
      </c>
      <c r="H7" s="15" t="str">
        <f t="shared" ref="H7:H19" si="1">IF(I7&lt;&gt;"","✓","")</f>
        <v/>
      </c>
      <c r="I7" s="16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3" t="s">
        <v>14</v>
      </c>
      <c r="C8" s="13" t="s">
        <v>17</v>
      </c>
      <c r="D8" s="14" t="s">
        <v>30</v>
      </c>
      <c r="E8" s="13" t="s">
        <v>32</v>
      </c>
      <c r="F8" s="13" t="s">
        <v>33</v>
      </c>
      <c r="G8" s="14">
        <v>2026.0</v>
      </c>
      <c r="H8" s="15" t="str">
        <f t="shared" si="1"/>
        <v/>
      </c>
      <c r="I8" s="16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3" t="s">
        <v>14</v>
      </c>
      <c r="C9" s="13" t="s">
        <v>17</v>
      </c>
      <c r="D9" s="14" t="s">
        <v>39</v>
      </c>
      <c r="E9" s="13" t="s">
        <v>41</v>
      </c>
      <c r="F9" s="13" t="s">
        <v>42</v>
      </c>
      <c r="G9" s="14">
        <v>2026.0</v>
      </c>
      <c r="H9" s="15" t="str">
        <f t="shared" si="1"/>
        <v/>
      </c>
      <c r="I9" s="16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13" t="s">
        <v>14</v>
      </c>
      <c r="C10" s="13" t="s">
        <v>17</v>
      </c>
      <c r="D10" s="14" t="s">
        <v>51</v>
      </c>
      <c r="E10" s="13" t="s">
        <v>55</v>
      </c>
      <c r="F10" s="13" t="s">
        <v>57</v>
      </c>
      <c r="G10" s="14">
        <v>2026.0</v>
      </c>
      <c r="H10" s="15" t="str">
        <f t="shared" si="1"/>
        <v/>
      </c>
      <c r="I10" s="16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13" t="s">
        <v>14</v>
      </c>
      <c r="C11" s="13" t="s">
        <v>17</v>
      </c>
      <c r="D11" s="14" t="s">
        <v>63</v>
      </c>
      <c r="E11" s="13" t="s">
        <v>64</v>
      </c>
      <c r="F11" s="13" t="s">
        <v>57</v>
      </c>
      <c r="G11" s="14">
        <v>2026.0</v>
      </c>
      <c r="H11" s="15" t="str">
        <f t="shared" si="1"/>
        <v/>
      </c>
      <c r="I11" s="16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13" t="s">
        <v>14</v>
      </c>
      <c r="C12" s="13" t="s">
        <v>17</v>
      </c>
      <c r="D12" s="14" t="s">
        <v>76</v>
      </c>
      <c r="E12" s="13" t="s">
        <v>79</v>
      </c>
      <c r="F12" s="13" t="s">
        <v>57</v>
      </c>
      <c r="G12" s="14">
        <v>2026.0</v>
      </c>
      <c r="H12" s="15" t="str">
        <f t="shared" si="1"/>
        <v/>
      </c>
      <c r="I12" s="16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>
        <v>7.0</v>
      </c>
      <c r="B13" s="13" t="s">
        <v>14</v>
      </c>
      <c r="C13" s="13" t="s">
        <v>17</v>
      </c>
      <c r="D13" s="14" t="s">
        <v>89</v>
      </c>
      <c r="E13" s="13" t="s">
        <v>90</v>
      </c>
      <c r="F13" s="13" t="s">
        <v>26</v>
      </c>
      <c r="G13" s="14">
        <v>2026.0</v>
      </c>
      <c r="H13" s="15" t="str">
        <f t="shared" si="1"/>
        <v/>
      </c>
      <c r="I13" s="16"/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8.0</v>
      </c>
      <c r="B14" s="13" t="s">
        <v>14</v>
      </c>
      <c r="C14" s="13" t="s">
        <v>17</v>
      </c>
      <c r="D14" s="14" t="s">
        <v>99</v>
      </c>
      <c r="E14" s="13" t="s">
        <v>100</v>
      </c>
      <c r="F14" s="13" t="s">
        <v>102</v>
      </c>
      <c r="G14" s="14">
        <v>2026.0</v>
      </c>
      <c r="H14" s="15" t="str">
        <f t="shared" si="1"/>
        <v/>
      </c>
      <c r="I14" s="16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2">
        <v>9.0</v>
      </c>
      <c r="B15" s="13" t="s">
        <v>14</v>
      </c>
      <c r="C15" s="13" t="s">
        <v>17</v>
      </c>
      <c r="D15" s="14" t="s">
        <v>106</v>
      </c>
      <c r="E15" s="13">
        <v>1.50704150793001E15</v>
      </c>
      <c r="F15" s="13" t="s">
        <v>57</v>
      </c>
      <c r="G15" s="14">
        <v>2026.0</v>
      </c>
      <c r="H15" s="15" t="str">
        <f t="shared" si="1"/>
        <v/>
      </c>
      <c r="I15" s="16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10.0</v>
      </c>
      <c r="B16" s="13" t="s">
        <v>14</v>
      </c>
      <c r="C16" s="13" t="s">
        <v>17</v>
      </c>
      <c r="D16" s="14" t="s">
        <v>117</v>
      </c>
      <c r="E16" s="13" t="s">
        <v>120</v>
      </c>
      <c r="F16" s="13" t="s">
        <v>122</v>
      </c>
      <c r="G16" s="14">
        <v>2026.0</v>
      </c>
      <c r="H16" s="15" t="str">
        <f t="shared" si="1"/>
        <v/>
      </c>
      <c r="I16" s="16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2">
        <v>11.0</v>
      </c>
      <c r="B17" s="13" t="s">
        <v>14</v>
      </c>
      <c r="C17" s="13" t="s">
        <v>17</v>
      </c>
      <c r="D17" s="14" t="s">
        <v>126</v>
      </c>
      <c r="E17" s="13" t="s">
        <v>128</v>
      </c>
      <c r="F17" s="13" t="s">
        <v>26</v>
      </c>
      <c r="G17" s="14">
        <v>2026.0</v>
      </c>
      <c r="H17" s="15" t="str">
        <f t="shared" si="1"/>
        <v/>
      </c>
      <c r="I17" s="16"/>
      <c r="J17" s="17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2">
        <v>12.0</v>
      </c>
      <c r="B18" s="13" t="s">
        <v>14</v>
      </c>
      <c r="C18" s="13" t="s">
        <v>17</v>
      </c>
      <c r="D18" s="14" t="s">
        <v>136</v>
      </c>
      <c r="E18" s="13" t="s">
        <v>137</v>
      </c>
      <c r="F18" s="13" t="s">
        <v>57</v>
      </c>
      <c r="G18" s="14">
        <v>2026.0</v>
      </c>
      <c r="H18" s="15" t="str">
        <f t="shared" si="1"/>
        <v/>
      </c>
      <c r="I18" s="16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2">
        <v>13.0</v>
      </c>
      <c r="B19" s="13" t="s">
        <v>14</v>
      </c>
      <c r="C19" s="13" t="s">
        <v>17</v>
      </c>
      <c r="D19" s="14" t="s">
        <v>144</v>
      </c>
      <c r="E19" s="13" t="s">
        <v>145</v>
      </c>
      <c r="F19" s="13" t="s">
        <v>102</v>
      </c>
      <c r="G19" s="14">
        <v>2026.0</v>
      </c>
      <c r="H19" s="15" t="str">
        <f t="shared" si="1"/>
        <v/>
      </c>
      <c r="I19" s="16"/>
      <c r="J19" s="17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22.63"/>
    <col customWidth="1" min="4" max="4" width="26.25"/>
    <col customWidth="1" min="5" max="5" width="24.13"/>
    <col customWidth="1" min="6" max="6" width="24.63"/>
    <col customWidth="1" min="8" max="8" width="5.13"/>
    <col customWidth="1" min="9" max="9" width="9.38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3" t="s">
        <v>14</v>
      </c>
      <c r="C7" s="13" t="s">
        <v>171</v>
      </c>
      <c r="D7" s="14" t="s">
        <v>172</v>
      </c>
      <c r="E7" s="13" t="s">
        <v>173</v>
      </c>
      <c r="F7" s="13" t="s">
        <v>174</v>
      </c>
      <c r="G7" s="14">
        <v>2026.0</v>
      </c>
      <c r="H7" s="15" t="str">
        <f t="shared" ref="H7:H10" si="1">IF(I7&lt;&gt;"","✓","")</f>
        <v/>
      </c>
      <c r="I7" s="16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3" t="s">
        <v>14</v>
      </c>
      <c r="C8" s="13" t="s">
        <v>171</v>
      </c>
      <c r="D8" s="14" t="s">
        <v>175</v>
      </c>
      <c r="E8" s="13" t="s">
        <v>176</v>
      </c>
      <c r="F8" s="13" t="s">
        <v>177</v>
      </c>
      <c r="G8" s="14">
        <v>2026.0</v>
      </c>
      <c r="H8" s="15" t="str">
        <f t="shared" si="1"/>
        <v/>
      </c>
      <c r="I8" s="16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3" t="s">
        <v>14</v>
      </c>
      <c r="C9" s="13" t="s">
        <v>171</v>
      </c>
      <c r="D9" s="14" t="s">
        <v>178</v>
      </c>
      <c r="E9" s="13" t="s">
        <v>179</v>
      </c>
      <c r="F9" s="13" t="s">
        <v>174</v>
      </c>
      <c r="G9" s="14">
        <v>2026.0</v>
      </c>
      <c r="H9" s="15" t="str">
        <f t="shared" si="1"/>
        <v/>
      </c>
      <c r="I9" s="16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13" t="s">
        <v>14</v>
      </c>
      <c r="C10" s="13" t="s">
        <v>171</v>
      </c>
      <c r="D10" s="14" t="s">
        <v>180</v>
      </c>
      <c r="E10" s="13" t="s">
        <v>181</v>
      </c>
      <c r="F10" s="13" t="s">
        <v>182</v>
      </c>
      <c r="G10" s="14">
        <v>2026.0</v>
      </c>
      <c r="H10" s="15" t="str">
        <f t="shared" si="1"/>
        <v/>
      </c>
      <c r="I10" s="16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6.38"/>
    <col customWidth="1" min="4" max="4" width="23.38"/>
    <col customWidth="1" min="5" max="5" width="28.13"/>
    <col customWidth="1" min="6" max="6" width="45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20" t="s">
        <v>14</v>
      </c>
      <c r="C7" s="20" t="s">
        <v>183</v>
      </c>
      <c r="D7" s="20" t="s">
        <v>184</v>
      </c>
      <c r="E7" s="20" t="s">
        <v>185</v>
      </c>
      <c r="F7" s="20" t="s">
        <v>186</v>
      </c>
      <c r="G7" s="20">
        <v>2026.0</v>
      </c>
      <c r="H7" s="15" t="str">
        <f t="shared" ref="H7:H19" si="1">IF(I7&lt;&gt;"","✓","")</f>
        <v/>
      </c>
      <c r="I7" s="17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20" t="s">
        <v>14</v>
      </c>
      <c r="C8" s="20" t="s">
        <v>183</v>
      </c>
      <c r="D8" s="21" t="s">
        <v>187</v>
      </c>
      <c r="E8" s="21" t="s">
        <v>188</v>
      </c>
      <c r="F8" s="21" t="s">
        <v>189</v>
      </c>
      <c r="G8" s="20">
        <v>2026.0</v>
      </c>
      <c r="H8" s="15" t="str">
        <f t="shared" si="1"/>
        <v/>
      </c>
      <c r="I8" s="17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20" t="s">
        <v>14</v>
      </c>
      <c r="C9" s="20" t="s">
        <v>183</v>
      </c>
      <c r="D9" s="20" t="s">
        <v>190</v>
      </c>
      <c r="E9" s="20" t="s">
        <v>191</v>
      </c>
      <c r="F9" s="20" t="s">
        <v>192</v>
      </c>
      <c r="G9" s="20">
        <v>2026.0</v>
      </c>
      <c r="H9" s="15" t="str">
        <f t="shared" si="1"/>
        <v/>
      </c>
      <c r="I9" s="17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20" t="s">
        <v>14</v>
      </c>
      <c r="C10" s="20" t="s">
        <v>183</v>
      </c>
      <c r="D10" s="20" t="s">
        <v>193</v>
      </c>
      <c r="E10" s="20" t="s">
        <v>194</v>
      </c>
      <c r="F10" s="20" t="s">
        <v>186</v>
      </c>
      <c r="G10" s="20">
        <v>2026.0</v>
      </c>
      <c r="H10" s="15" t="str">
        <f t="shared" si="1"/>
        <v/>
      </c>
      <c r="I10" s="17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20" t="s">
        <v>14</v>
      </c>
      <c r="C11" s="20" t="s">
        <v>183</v>
      </c>
      <c r="D11" s="20" t="s">
        <v>195</v>
      </c>
      <c r="E11" s="20" t="s">
        <v>196</v>
      </c>
      <c r="F11" s="20" t="s">
        <v>197</v>
      </c>
      <c r="G11" s="20">
        <v>2026.0</v>
      </c>
      <c r="H11" s="15" t="str">
        <f t="shared" si="1"/>
        <v/>
      </c>
      <c r="I11" s="17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20" t="s">
        <v>14</v>
      </c>
      <c r="C12" s="21" t="s">
        <v>183</v>
      </c>
      <c r="D12" s="20" t="s">
        <v>198</v>
      </c>
      <c r="E12" s="20" t="s">
        <v>199</v>
      </c>
      <c r="F12" s="20" t="s">
        <v>200</v>
      </c>
      <c r="G12" s="20">
        <v>2026.0</v>
      </c>
      <c r="H12" s="15" t="str">
        <f t="shared" si="1"/>
        <v/>
      </c>
      <c r="I12" s="17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>
        <v>7.0</v>
      </c>
      <c r="B13" s="20" t="s">
        <v>14</v>
      </c>
      <c r="C13" s="20" t="s">
        <v>183</v>
      </c>
      <c r="D13" s="20" t="s">
        <v>201</v>
      </c>
      <c r="E13" s="20" t="s">
        <v>202</v>
      </c>
      <c r="F13" s="20" t="s">
        <v>203</v>
      </c>
      <c r="G13" s="20">
        <v>2026.0</v>
      </c>
      <c r="H13" s="15" t="str">
        <f t="shared" si="1"/>
        <v/>
      </c>
      <c r="I13" s="17"/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8.0</v>
      </c>
      <c r="B14" s="20" t="s">
        <v>14</v>
      </c>
      <c r="C14" s="20" t="s">
        <v>183</v>
      </c>
      <c r="D14" s="20" t="s">
        <v>204</v>
      </c>
      <c r="E14" s="20" t="s">
        <v>205</v>
      </c>
      <c r="F14" s="20" t="s">
        <v>186</v>
      </c>
      <c r="G14" s="20">
        <v>2026.0</v>
      </c>
      <c r="H14" s="15" t="str">
        <f t="shared" si="1"/>
        <v/>
      </c>
      <c r="I14" s="17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2">
        <v>9.0</v>
      </c>
      <c r="B15" s="20" t="s">
        <v>14</v>
      </c>
      <c r="C15" s="20" t="s">
        <v>183</v>
      </c>
      <c r="D15" s="20" t="s">
        <v>206</v>
      </c>
      <c r="E15" s="20" t="s">
        <v>207</v>
      </c>
      <c r="F15" s="20" t="s">
        <v>208</v>
      </c>
      <c r="G15" s="20">
        <v>2026.0</v>
      </c>
      <c r="H15" s="15" t="str">
        <f t="shared" si="1"/>
        <v/>
      </c>
      <c r="I15" s="17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10.0</v>
      </c>
      <c r="B16" s="20" t="s">
        <v>14</v>
      </c>
      <c r="C16" s="20" t="s">
        <v>183</v>
      </c>
      <c r="D16" s="20" t="s">
        <v>209</v>
      </c>
      <c r="E16" s="20" t="s">
        <v>210</v>
      </c>
      <c r="F16" s="20" t="s">
        <v>192</v>
      </c>
      <c r="G16" s="20">
        <v>2026.0</v>
      </c>
      <c r="H16" s="15" t="str">
        <f t="shared" si="1"/>
        <v/>
      </c>
      <c r="I16" s="17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2">
        <v>11.0</v>
      </c>
      <c r="B17" s="20" t="s">
        <v>14</v>
      </c>
      <c r="C17" s="20" t="s">
        <v>183</v>
      </c>
      <c r="D17" s="20" t="s">
        <v>211</v>
      </c>
      <c r="E17" s="20">
        <v>1.50704150765004E15</v>
      </c>
      <c r="F17" s="20" t="s">
        <v>203</v>
      </c>
      <c r="G17" s="20">
        <v>2026.0</v>
      </c>
      <c r="H17" s="15" t="str">
        <f t="shared" si="1"/>
        <v/>
      </c>
      <c r="I17" s="17"/>
      <c r="J17" s="17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2">
        <v>12.0</v>
      </c>
      <c r="B18" s="20" t="s">
        <v>14</v>
      </c>
      <c r="C18" s="20" t="s">
        <v>183</v>
      </c>
      <c r="D18" s="20" t="s">
        <v>212</v>
      </c>
      <c r="E18" s="20" t="s">
        <v>213</v>
      </c>
      <c r="F18" s="20" t="s">
        <v>200</v>
      </c>
      <c r="G18" s="20">
        <v>2026.0</v>
      </c>
      <c r="H18" s="15" t="str">
        <f t="shared" si="1"/>
        <v/>
      </c>
      <c r="I18" s="17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2">
        <v>13.0</v>
      </c>
      <c r="B19" s="20" t="s">
        <v>14</v>
      </c>
      <c r="C19" s="20" t="s">
        <v>183</v>
      </c>
      <c r="D19" s="20" t="s">
        <v>214</v>
      </c>
      <c r="E19" s="20" t="s">
        <v>215</v>
      </c>
      <c r="F19" s="20" t="s">
        <v>216</v>
      </c>
      <c r="G19" s="20">
        <v>2026.0</v>
      </c>
      <c r="H19" s="15" t="str">
        <f t="shared" si="1"/>
        <v/>
      </c>
      <c r="I19" s="17"/>
      <c r="J19" s="17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</sheetData>
  <mergeCells count="4">
    <mergeCell ref="A1:K1"/>
    <mergeCell ref="A2:K2"/>
    <mergeCell ref="A3:K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3" width="26.38"/>
    <col customWidth="1" min="4" max="4" width="24.75"/>
    <col customWidth="1" min="5" max="5" width="27.0"/>
    <col customWidth="1" min="6" max="6" width="37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20" t="s">
        <v>14</v>
      </c>
      <c r="C7" s="20" t="s">
        <v>217</v>
      </c>
      <c r="D7" s="20" t="s">
        <v>218</v>
      </c>
      <c r="E7" s="20" t="s">
        <v>219</v>
      </c>
      <c r="F7" s="20" t="s">
        <v>220</v>
      </c>
      <c r="G7" s="20">
        <v>2026.0</v>
      </c>
      <c r="H7" s="15" t="str">
        <f t="shared" ref="H7:H11" si="1">IF(I7&lt;&gt;"","✓","")</f>
        <v/>
      </c>
      <c r="I7" s="17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20" t="s">
        <v>14</v>
      </c>
      <c r="C8" s="20" t="s">
        <v>217</v>
      </c>
      <c r="D8" s="20" t="s">
        <v>221</v>
      </c>
      <c r="E8" s="20" t="s">
        <v>222</v>
      </c>
      <c r="F8" s="20" t="s">
        <v>223</v>
      </c>
      <c r="G8" s="20">
        <v>2026.0</v>
      </c>
      <c r="H8" s="15" t="str">
        <f t="shared" si="1"/>
        <v/>
      </c>
      <c r="I8" s="17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20" t="s">
        <v>14</v>
      </c>
      <c r="C9" s="20" t="s">
        <v>217</v>
      </c>
      <c r="D9" s="20" t="s">
        <v>195</v>
      </c>
      <c r="E9" s="20" t="s">
        <v>224</v>
      </c>
      <c r="F9" s="20" t="s">
        <v>225</v>
      </c>
      <c r="G9" s="20">
        <v>2026.0</v>
      </c>
      <c r="H9" s="15" t="str">
        <f t="shared" si="1"/>
        <v/>
      </c>
      <c r="I9" s="17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20" t="s">
        <v>14</v>
      </c>
      <c r="C10" s="20" t="s">
        <v>217</v>
      </c>
      <c r="D10" s="20" t="s">
        <v>226</v>
      </c>
      <c r="E10" s="20" t="s">
        <v>227</v>
      </c>
      <c r="F10" s="20" t="s">
        <v>225</v>
      </c>
      <c r="G10" s="20">
        <v>2026.0</v>
      </c>
      <c r="H10" s="15" t="str">
        <f t="shared" si="1"/>
        <v/>
      </c>
      <c r="I10" s="17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20" t="s">
        <v>14</v>
      </c>
      <c r="C11" s="20" t="s">
        <v>217</v>
      </c>
      <c r="D11" s="20" t="s">
        <v>228</v>
      </c>
      <c r="E11" s="20" t="s">
        <v>229</v>
      </c>
      <c r="F11" s="20" t="s">
        <v>230</v>
      </c>
      <c r="G11" s="20">
        <v>2026.0</v>
      </c>
      <c r="H11" s="15" t="str">
        <f t="shared" si="1"/>
        <v/>
      </c>
      <c r="I11" s="17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</sheetData>
  <mergeCells count="4">
    <mergeCell ref="A1:K1"/>
    <mergeCell ref="A2:K2"/>
    <mergeCell ref="A3:K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7.5"/>
    <col customWidth="1" min="4" max="4" width="23.0"/>
    <col customWidth="1" min="5" max="5" width="19.5"/>
    <col customWidth="1" min="6" max="6" width="28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20" t="s">
        <v>14</v>
      </c>
      <c r="C7" s="20" t="s">
        <v>231</v>
      </c>
      <c r="D7" s="20" t="s">
        <v>232</v>
      </c>
      <c r="E7" s="20" t="s">
        <v>233</v>
      </c>
      <c r="F7" s="20" t="s">
        <v>234</v>
      </c>
      <c r="G7" s="20">
        <v>2026.0</v>
      </c>
      <c r="H7" s="15" t="str">
        <f t="shared" ref="H7:H10" si="1">IF(I7&lt;&gt;"","✓","")</f>
        <v/>
      </c>
      <c r="I7" s="17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20" t="s">
        <v>14</v>
      </c>
      <c r="C8" s="20" t="s">
        <v>231</v>
      </c>
      <c r="D8" s="20" t="s">
        <v>235</v>
      </c>
      <c r="E8" s="20" t="s">
        <v>236</v>
      </c>
      <c r="F8" s="20" t="s">
        <v>234</v>
      </c>
      <c r="G8" s="20">
        <v>2026.0</v>
      </c>
      <c r="H8" s="15" t="str">
        <f t="shared" si="1"/>
        <v/>
      </c>
      <c r="I8" s="17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20" t="s">
        <v>14</v>
      </c>
      <c r="C9" s="20" t="s">
        <v>231</v>
      </c>
      <c r="D9" s="20" t="s">
        <v>237</v>
      </c>
      <c r="E9" s="20" t="s">
        <v>238</v>
      </c>
      <c r="F9" s="20" t="s">
        <v>239</v>
      </c>
      <c r="G9" s="20">
        <v>2026.0</v>
      </c>
      <c r="H9" s="15" t="str">
        <f t="shared" si="1"/>
        <v/>
      </c>
      <c r="I9" s="17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20" t="s">
        <v>14</v>
      </c>
      <c r="C10" s="20" t="s">
        <v>231</v>
      </c>
      <c r="D10" s="20" t="s">
        <v>240</v>
      </c>
      <c r="E10" s="20" t="s">
        <v>241</v>
      </c>
      <c r="F10" s="20" t="s">
        <v>239</v>
      </c>
      <c r="G10" s="20">
        <v>2026.0</v>
      </c>
      <c r="H10" s="15" t="str">
        <f t="shared" si="1"/>
        <v/>
      </c>
      <c r="I10" s="17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</sheetData>
  <mergeCells count="4">
    <mergeCell ref="A1:K1"/>
    <mergeCell ref="A2:K2"/>
    <mergeCell ref="A3:K3"/>
    <mergeCell ref="H6:I6"/>
  </mergeCells>
  <drawing r:id="rId1"/>
</worksheet>
</file>