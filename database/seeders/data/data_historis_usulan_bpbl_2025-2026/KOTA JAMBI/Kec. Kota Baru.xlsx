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KENALI ASAM" sheetId="1" r:id="rId5"/>
    <sheet state="visible" name="KEL. KENALI ASAM BAWAH" sheetId="2" r:id="rId6"/>
    <sheet state="visible" name="KEL. PAAL LIMA" sheetId="3" r:id="rId7"/>
    <sheet state="visible" name="KEL. SIMPANG III SIPIN" sheetId="4" r:id="rId8"/>
    <sheet state="visible" name="KEL. SUKA KARYA" sheetId="5" r:id="rId9"/>
  </sheets>
  <definedNames/>
  <calcPr/>
</workbook>
</file>

<file path=xl/sharedStrings.xml><?xml version="1.0" encoding="utf-8"?>
<sst xmlns="http://schemas.openxmlformats.org/spreadsheetml/2006/main" count="245" uniqueCount="123">
  <si>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</si>
  <si>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</si>
  <si>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</si>
  <si>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</si>
  <si>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</si>
  <si>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</si>
  <si>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</si>
  <si>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</si>
  <si>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</si>
  <si>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</si>
  <si>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</si>
  <si>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</si>
  <si>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</si>
  <si>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</si>
  <si>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KOTA BARU</t>
  </si>
  <si>
    <t>KENALI ASAM BAWAH</t>
  </si>
  <si>
    <t>PALL LIMA</t>
  </si>
  <si>
    <t>JUMHARI</t>
  </si>
  <si>
    <t>KENALI ASAM</t>
  </si>
  <si>
    <t>SEPTRA PURNOMO</t>
  </si>
  <si>
    <t>1571072008840005</t>
  </si>
  <si>
    <t>JL. WIDURI, RT.31</t>
  </si>
  <si>
    <t>1571070409890041</t>
  </si>
  <si>
    <t>LORONG MERAH PUTIH RT.31</t>
  </si>
  <si>
    <t>SIMPANG III SIPIN</t>
  </si>
  <si>
    <t>DEDI KURNIAWAN</t>
  </si>
  <si>
    <t>1571070101910324</t>
  </si>
  <si>
    <t>JALAN SUNAN GIRI RT 10</t>
  </si>
  <si>
    <t>DAHLAN</t>
  </si>
  <si>
    <t>1571070801870001</t>
  </si>
  <si>
    <t>JL. MARSDA SURYA DHARMA LORONG PERTAMINA III, RT. 10</t>
  </si>
  <si>
    <t>KHOIRUDIN</t>
  </si>
  <si>
    <t>3306140201840005</t>
  </si>
  <si>
    <t>JL. PINTU BESI, RT. 08</t>
  </si>
  <si>
    <t>EFENDI</t>
  </si>
  <si>
    <t>M. ROMADONI</t>
  </si>
  <si>
    <t>1571071505750121</t>
  </si>
  <si>
    <t>1571072300830041</t>
  </si>
  <si>
    <t>JL. MARSDA SURYA DHARMA RT. 10</t>
  </si>
  <si>
    <t>JL. MAYOR A MARZUKI. RT. 03</t>
  </si>
  <si>
    <t>MUNIR PRABOWO</t>
  </si>
  <si>
    <t>15711071708720061</t>
  </si>
  <si>
    <t>JL. WIDURI, ILR. SUKA SARI, RT 04</t>
  </si>
  <si>
    <t>JURIYAH</t>
  </si>
  <si>
    <t>1571075810670041</t>
  </si>
  <si>
    <t>Jl. Marsda Surya Dharma Splatur III, RT.01</t>
  </si>
  <si>
    <t>EKO PRANSISKO</t>
  </si>
  <si>
    <t>M. BADRI</t>
  </si>
  <si>
    <t>1607110506950000</t>
  </si>
  <si>
    <t>1571070812870041</t>
  </si>
  <si>
    <t>KENALI ASAM BAWAH, RT. 01</t>
  </si>
  <si>
    <t>SUTARWI</t>
  </si>
  <si>
    <t>3318090501810001</t>
  </si>
  <si>
    <t>JL. LINGKAR BARAT RT.33 KEL. KENALI ASAM KEC. KOTA BARU</t>
  </si>
  <si>
    <t>PANDJASQU</t>
  </si>
  <si>
    <t>1571072105720001</t>
  </si>
  <si>
    <t>JL. MARSDA SURYA DHARMA, RT. 10</t>
  </si>
  <si>
    <t>AHMAD MAULANA</t>
  </si>
  <si>
    <t>RAMA NUGRAHA</t>
  </si>
  <si>
    <t>1505060202940006</t>
  </si>
  <si>
    <t>1571081703000022</t>
  </si>
  <si>
    <t>JON KENEDY</t>
  </si>
  <si>
    <t>JL. SUNAN KALI JAGA RT. 15</t>
  </si>
  <si>
    <t>1571071102660020</t>
  </si>
  <si>
    <t>REZA ARDHIKAΑ</t>
  </si>
  <si>
    <t>1571071608980021</t>
  </si>
  <si>
    <t>JL. LETMUD. SAMIAM RT.02 KEL. KENALI ASAM KEC KOTA BARU</t>
  </si>
  <si>
    <t>JL. PREMIK RT. 10</t>
  </si>
  <si>
    <t>DAHWIMAH</t>
  </si>
  <si>
    <t>1571075006700021</t>
  </si>
  <si>
    <t>KASMAWAI</t>
  </si>
  <si>
    <t>JL. SUNAN KALI JAGA NO. 74 B RT.15</t>
  </si>
  <si>
    <t>1571074810640020</t>
  </si>
  <si>
    <t>JI. LETMUD. SAMIAM RT.04 KEL. KENALI ASAM KEC. KOTA BARU</t>
  </si>
  <si>
    <t>HERMAN</t>
  </si>
  <si>
    <t>KHAIDIR</t>
  </si>
  <si>
    <t>1571071600710001</t>
  </si>
  <si>
    <t>JL. SUNAN KALI JAGA RT.15</t>
  </si>
  <si>
    <t>1571071105700120</t>
  </si>
  <si>
    <t>JI. LINGKAR BARAT RT.33 KEL. KENALI ÁSAM KEC. KOTA BARU</t>
  </si>
  <si>
    <t>M. PUJOSANTOSO</t>
  </si>
  <si>
    <t>1571072505730201</t>
  </si>
  <si>
    <t>PARIDA</t>
  </si>
  <si>
    <t>JL. SUNAN GIRI NO. 40 RT.09</t>
  </si>
  <si>
    <t>1571075908610020</t>
  </si>
  <si>
    <t>JL. SUNAN GUNUNG JATI RT.13 KEL. KENALI ASAM KEC. KOTA BARU</t>
  </si>
  <si>
    <t>ROSMAWANI</t>
  </si>
  <si>
    <t>1571075005490001</t>
  </si>
  <si>
    <t>JL. Ir. H. JUANDA RT. 22</t>
  </si>
  <si>
    <t>PIRRYANS</t>
  </si>
  <si>
    <t>1571075703930060</t>
  </si>
  <si>
    <t>JL. DARMA KARYA III RT.29 KEL. KENALI ASAM KEC. KOTA BARU</t>
  </si>
  <si>
    <t>SURIP</t>
  </si>
  <si>
    <t>1571070404420020</t>
  </si>
  <si>
    <t>JI. LINGKAR BARAT RT.33 KEL. KENALI ASAM KEC. KOTA BARU</t>
  </si>
  <si>
    <t>SUKA KARYA</t>
  </si>
  <si>
    <t>AGUS RIADI</t>
  </si>
  <si>
    <t>1571070108860181</t>
  </si>
  <si>
    <t>JL. KOPRAL SULAIMAN RT.08</t>
  </si>
  <si>
    <t>ASRINAL</t>
  </si>
  <si>
    <t>1571070607820081</t>
  </si>
  <si>
    <t>JL. PURNAMA LRG. BUKIT PALM RT.14</t>
  </si>
  <si>
    <t>ASRIZAL</t>
  </si>
  <si>
    <t>1571072102720001</t>
  </si>
  <si>
    <t>LRG. ANGKASA RT.05</t>
  </si>
  <si>
    <t>DESNI ELNA</t>
  </si>
  <si>
    <t>1571074312860061</t>
  </si>
  <si>
    <t>JL. PANGERAN HIDAYAT LR. SISWA RT.06</t>
  </si>
  <si>
    <t>JUFRIANTO</t>
  </si>
  <si>
    <t>1671050101840020</t>
  </si>
  <si>
    <t>JL. PANGERAN HIDAYAT LR. SISWA NO.54 RT.06</t>
  </si>
  <si>
    <t>RIZKY SEPTIAWAN</t>
  </si>
  <si>
    <t>1571072609970001</t>
  </si>
  <si>
    <t>JL. PANGERAN HIDAYAT NO.22</t>
  </si>
  <si>
    <t>SAPRIZAL</t>
  </si>
  <si>
    <t>1571072304780061</t>
  </si>
  <si>
    <t>JL. P. HIDAYAT LR. SISWA RT.06</t>
  </si>
  <si>
    <t>SUPRIYADI</t>
  </si>
  <si>
    <t>1571071301960001</t>
  </si>
  <si>
    <t>JL. KOPRAL SULAIMAN RT.16</t>
  </si>
  <si>
    <t>TRI SANJOYO</t>
  </si>
  <si>
    <t>1571070905960041</t>
  </si>
  <si>
    <t>LRG. GADO-GADO RT.09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</si>
</sst>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Arial"/>
    </font>
    <font>
      <sz val="11.0"/>
      <color theme="1"/>
      <name val="&quot;Aptos Narrow&quot;"/>
    </font>
    <font>
      <sz val="11.0"/>
      <color rgb="FF000000"/>
      <name val="&quot;Aptos Narrow&quot;"/>
    </font>
    <font>
      <sz val="11.0"/>
      <color rgb="FFFF0000"/>
      <name val="Arial"/>
    </font>
    <font>
      <b/>
      <sz val="11.0"/>
      <color rgb="FF000000"/>
      <name val="&quot;Aptos Narrow&quot;"/>
    </font>
    <font>
      <sz val="12.0"/>
      <color rgb="FFFF0000"/>
      <name val="Calibri"/>
    </font>
    <font>
      <sz val="11.0"/>
      <color rgb="FFFF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shrinkToFit="0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6" numFmtId="49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49" xfId="0" applyAlignment="1" applyBorder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3" max="3" width="22.88"/>
    <col customWidth="1" min="4" max="4" width="20.38"/>
    <col customWidth="1" min="5" max="5" width="22.88"/>
    <col customWidth="1" min="6" max="6" width="64.88"/>
    <col customWidth="1" min="10" max="10" width="6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0" t="s">
        <v>14</v>
      </c>
      <c r="C7" s="10" t="s">
        <v>18</v>
      </c>
      <c r="D7" s="11" t="s">
        <v>19</v>
      </c>
      <c r="E7" s="10" t="s">
        <v>22</v>
      </c>
      <c r="F7" s="11" t="s">
        <v>23</v>
      </c>
      <c r="G7" s="13">
        <v>2025.0</v>
      </c>
      <c r="H7" s="18" t="str">
        <f t="shared" ref="H7:H14" si="1">IF(I7&lt;&gt;"","✓","")</f>
        <v>✓</v>
      </c>
      <c r="I7" s="19">
        <v>2025.0</v>
      </c>
      <c r="J7" s="21">
        <v>1.0</v>
      </c>
      <c r="K7" s="20"/>
    </row>
    <row r="8">
      <c r="A8" s="7">
        <v>2.0</v>
      </c>
      <c r="B8" s="15" t="s">
        <v>14</v>
      </c>
      <c r="C8" s="15" t="s">
        <v>18</v>
      </c>
      <c r="D8" s="11" t="s">
        <v>46</v>
      </c>
      <c r="E8" s="23" t="s">
        <v>48</v>
      </c>
      <c r="F8" s="12" t="s">
        <v>53</v>
      </c>
      <c r="G8" s="14">
        <v>2026.0</v>
      </c>
      <c r="H8" s="18" t="str">
        <f t="shared" si="1"/>
        <v/>
      </c>
      <c r="I8" s="17"/>
      <c r="J8" s="17"/>
      <c r="K8" s="17"/>
    </row>
    <row r="9">
      <c r="A9" s="7">
        <v>3.0</v>
      </c>
      <c r="B9" s="15" t="s">
        <v>14</v>
      </c>
      <c r="C9" s="15" t="s">
        <v>18</v>
      </c>
      <c r="D9" s="11" t="s">
        <v>61</v>
      </c>
      <c r="E9" s="23" t="s">
        <v>63</v>
      </c>
      <c r="F9" s="24" t="s">
        <v>66</v>
      </c>
      <c r="G9" s="14">
        <v>2026.0</v>
      </c>
      <c r="H9" s="18" t="str">
        <f t="shared" si="1"/>
        <v/>
      </c>
      <c r="I9" s="17"/>
      <c r="J9" s="17"/>
      <c r="K9" s="17"/>
    </row>
    <row r="10">
      <c r="A10" s="7">
        <v>4.0</v>
      </c>
      <c r="B10" s="15" t="s">
        <v>14</v>
      </c>
      <c r="C10" s="15" t="s">
        <v>18</v>
      </c>
      <c r="D10" s="11" t="s">
        <v>70</v>
      </c>
      <c r="E10" s="23" t="s">
        <v>72</v>
      </c>
      <c r="F10" s="24" t="s">
        <v>73</v>
      </c>
      <c r="G10" s="14">
        <v>2026.0</v>
      </c>
      <c r="H10" s="18" t="str">
        <f t="shared" si="1"/>
        <v/>
      </c>
      <c r="I10" s="17"/>
      <c r="J10" s="17"/>
      <c r="K10" s="17"/>
    </row>
    <row r="11">
      <c r="A11" s="7">
        <v>5.0</v>
      </c>
      <c r="B11" s="15" t="s">
        <v>14</v>
      </c>
      <c r="C11" s="15" t="s">
        <v>18</v>
      </c>
      <c r="D11" s="11" t="s">
        <v>75</v>
      </c>
      <c r="E11" s="23" t="s">
        <v>78</v>
      </c>
      <c r="F11" s="12" t="s">
        <v>79</v>
      </c>
      <c r="G11" s="14">
        <v>2026.0</v>
      </c>
      <c r="H11" s="18" t="str">
        <f t="shared" si="1"/>
        <v/>
      </c>
      <c r="I11" s="17"/>
      <c r="J11" s="17"/>
      <c r="K11" s="17"/>
    </row>
    <row r="12">
      <c r="A12" s="7">
        <v>6.0</v>
      </c>
      <c r="B12" s="15" t="s">
        <v>14</v>
      </c>
      <c r="C12" s="15" t="s">
        <v>18</v>
      </c>
      <c r="D12" s="11" t="s">
        <v>82</v>
      </c>
      <c r="E12" s="23" t="s">
        <v>84</v>
      </c>
      <c r="F12" s="12" t="s">
        <v>85</v>
      </c>
      <c r="G12" s="14">
        <v>2026.0</v>
      </c>
      <c r="H12" s="18" t="str">
        <f t="shared" si="1"/>
        <v/>
      </c>
      <c r="I12" s="17"/>
      <c r="J12" s="17"/>
      <c r="K12" s="17"/>
    </row>
    <row r="13">
      <c r="A13" s="7">
        <v>7.0</v>
      </c>
      <c r="B13" s="15" t="s">
        <v>14</v>
      </c>
      <c r="C13" s="15" t="s">
        <v>18</v>
      </c>
      <c r="D13" s="11" t="s">
        <v>89</v>
      </c>
      <c r="E13" s="23" t="s">
        <v>90</v>
      </c>
      <c r="F13" s="12" t="s">
        <v>91</v>
      </c>
      <c r="G13" s="14">
        <v>2026.0</v>
      </c>
      <c r="H13" s="18" t="str">
        <f t="shared" si="1"/>
        <v/>
      </c>
      <c r="I13" s="17"/>
      <c r="J13" s="17"/>
      <c r="K13" s="17"/>
    </row>
    <row r="14">
      <c r="A14" s="7">
        <v>8.0</v>
      </c>
      <c r="B14" s="15" t="s">
        <v>14</v>
      </c>
      <c r="C14" s="15" t="s">
        <v>18</v>
      </c>
      <c r="D14" s="11" t="s">
        <v>92</v>
      </c>
      <c r="E14" s="23" t="s">
        <v>93</v>
      </c>
      <c r="F14" s="12" t="s">
        <v>94</v>
      </c>
      <c r="G14" s="14">
        <v>2026.0</v>
      </c>
      <c r="H14" s="18" t="str">
        <f t="shared" si="1"/>
        <v/>
      </c>
      <c r="I14" s="17"/>
      <c r="J14" s="17"/>
      <c r="K14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3.25"/>
    <col customWidth="1" min="4" max="4" width="18.25"/>
    <col customWidth="1" min="5" max="5" width="24.0"/>
    <col customWidth="1" min="6" max="6" width="57.0"/>
    <col customWidth="1" min="10" max="10" width="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15" t="s">
        <v>15</v>
      </c>
      <c r="D7" s="11" t="s">
        <v>28</v>
      </c>
      <c r="E7" s="9" t="s">
        <v>29</v>
      </c>
      <c r="F7" s="12" t="s">
        <v>30</v>
      </c>
      <c r="G7" s="14">
        <v>2026.0</v>
      </c>
      <c r="H7" s="17" t="str">
        <f t="shared" ref="H7:H13" si="1">IF(I7&lt;&gt;"","✓","")</f>
        <v/>
      </c>
      <c r="I7" s="17"/>
      <c r="J7" s="17"/>
      <c r="K7" s="17"/>
    </row>
    <row r="8">
      <c r="A8" s="7">
        <v>2.0</v>
      </c>
      <c r="B8" s="15" t="s">
        <v>14</v>
      </c>
      <c r="C8" s="15" t="s">
        <v>15</v>
      </c>
      <c r="D8" s="11" t="s">
        <v>34</v>
      </c>
      <c r="E8" s="9" t="s">
        <v>36</v>
      </c>
      <c r="F8" s="12" t="s">
        <v>38</v>
      </c>
      <c r="G8" s="14">
        <v>2026.0</v>
      </c>
      <c r="H8" s="17" t="str">
        <f t="shared" si="1"/>
        <v/>
      </c>
      <c r="I8" s="17"/>
      <c r="J8" s="17"/>
      <c r="K8" s="17"/>
    </row>
    <row r="9">
      <c r="A9" s="7">
        <v>3.0</v>
      </c>
      <c r="B9" s="15" t="s">
        <v>14</v>
      </c>
      <c r="C9" s="15" t="s">
        <v>15</v>
      </c>
      <c r="D9" s="11" t="s">
        <v>43</v>
      </c>
      <c r="E9" s="9" t="s">
        <v>44</v>
      </c>
      <c r="F9" s="12" t="s">
        <v>45</v>
      </c>
      <c r="G9" s="14">
        <v>2026.0</v>
      </c>
      <c r="H9" s="17" t="str">
        <f t="shared" si="1"/>
        <v/>
      </c>
      <c r="I9" s="17"/>
      <c r="J9" s="17"/>
      <c r="K9" s="17"/>
    </row>
    <row r="10">
      <c r="A10" s="7">
        <v>4.0</v>
      </c>
      <c r="B10" s="15" t="s">
        <v>14</v>
      </c>
      <c r="C10" s="15" t="s">
        <v>15</v>
      </c>
      <c r="D10" s="11" t="s">
        <v>47</v>
      </c>
      <c r="E10" s="9" t="s">
        <v>49</v>
      </c>
      <c r="F10" s="12" t="s">
        <v>50</v>
      </c>
      <c r="G10" s="14">
        <v>2026.0</v>
      </c>
      <c r="H10" s="17" t="str">
        <f t="shared" si="1"/>
        <v/>
      </c>
      <c r="I10" s="17"/>
      <c r="J10" s="17"/>
      <c r="K10" s="17"/>
    </row>
    <row r="11">
      <c r="A11" s="7">
        <v>5.0</v>
      </c>
      <c r="B11" s="15" t="s">
        <v>14</v>
      </c>
      <c r="C11" s="15" t="s">
        <v>15</v>
      </c>
      <c r="D11" s="11" t="s">
        <v>54</v>
      </c>
      <c r="E11" s="9" t="s">
        <v>55</v>
      </c>
      <c r="F11" s="12" t="s">
        <v>56</v>
      </c>
      <c r="G11" s="14">
        <v>2026.0</v>
      </c>
      <c r="H11" s="17" t="str">
        <f t="shared" si="1"/>
        <v/>
      </c>
      <c r="I11" s="17"/>
      <c r="J11" s="17"/>
      <c r="K11" s="17"/>
    </row>
    <row r="12">
      <c r="A12" s="7">
        <v>6.0</v>
      </c>
      <c r="B12" s="15" t="s">
        <v>14</v>
      </c>
      <c r="C12" s="15" t="s">
        <v>15</v>
      </c>
      <c r="D12" s="11" t="s">
        <v>58</v>
      </c>
      <c r="E12" s="9" t="s">
        <v>60</v>
      </c>
      <c r="F12" s="12" t="s">
        <v>38</v>
      </c>
      <c r="G12" s="14">
        <v>2026.0</v>
      </c>
      <c r="H12" s="17" t="str">
        <f t="shared" si="1"/>
        <v/>
      </c>
      <c r="I12" s="17"/>
      <c r="J12" s="17"/>
      <c r="K12" s="17"/>
    </row>
    <row r="13">
      <c r="A13" s="7">
        <v>7.0</v>
      </c>
      <c r="B13" s="15" t="s">
        <v>14</v>
      </c>
      <c r="C13" s="15" t="s">
        <v>15</v>
      </c>
      <c r="D13" s="11" t="s">
        <v>64</v>
      </c>
      <c r="E13" s="9" t="s">
        <v>65</v>
      </c>
      <c r="F13" s="12" t="s">
        <v>67</v>
      </c>
      <c r="G13" s="14">
        <v>2026.0</v>
      </c>
      <c r="H13" s="17" t="str">
        <f t="shared" si="1"/>
        <v/>
      </c>
      <c r="I13" s="17"/>
      <c r="J13" s="17"/>
      <c r="K13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5" max="5" width="36.63"/>
    <col customWidth="1" min="6" max="6" width="37.88"/>
    <col customWidth="1" min="8" max="8" width="6.25"/>
    <col customWidth="1" min="9" max="9" width="11.75"/>
    <col customWidth="1" min="10" max="10" width="6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16</v>
      </c>
      <c r="D7" s="11" t="s">
        <v>17</v>
      </c>
      <c r="E7" s="9" t="s">
        <v>20</v>
      </c>
      <c r="F7" s="12" t="s">
        <v>21</v>
      </c>
      <c r="G7" s="14">
        <v>2026.0</v>
      </c>
      <c r="H7" s="17" t="str">
        <f t="shared" ref="H7:H10" si="1">IF(I7&lt;&gt;"","✓","")</f>
        <v/>
      </c>
      <c r="I7" s="17"/>
      <c r="J7" s="17"/>
      <c r="K7" s="17"/>
    </row>
    <row r="8">
      <c r="A8" s="7">
        <v>2.0</v>
      </c>
      <c r="B8" s="9" t="s">
        <v>14</v>
      </c>
      <c r="C8" s="9" t="s">
        <v>16</v>
      </c>
      <c r="D8" s="11" t="s">
        <v>31</v>
      </c>
      <c r="E8" s="9" t="s">
        <v>32</v>
      </c>
      <c r="F8" s="12" t="s">
        <v>33</v>
      </c>
      <c r="G8" s="14">
        <v>2026.0</v>
      </c>
      <c r="H8" s="17" t="str">
        <f t="shared" si="1"/>
        <v/>
      </c>
      <c r="I8" s="17"/>
      <c r="J8" s="17"/>
      <c r="K8" s="17"/>
    </row>
    <row r="9">
      <c r="A9" s="7">
        <v>3.0</v>
      </c>
      <c r="B9" s="9" t="s">
        <v>14</v>
      </c>
      <c r="C9" s="9" t="s">
        <v>16</v>
      </c>
      <c r="D9" s="11" t="s">
        <v>35</v>
      </c>
      <c r="E9" s="9" t="s">
        <v>37</v>
      </c>
      <c r="F9" s="12" t="s">
        <v>39</v>
      </c>
      <c r="G9" s="14">
        <v>2026.0</v>
      </c>
      <c r="H9" s="17" t="str">
        <f t="shared" si="1"/>
        <v/>
      </c>
      <c r="I9" s="17"/>
      <c r="J9" s="17"/>
      <c r="K9" s="17"/>
    </row>
    <row r="10">
      <c r="A10" s="7">
        <v>4.0</v>
      </c>
      <c r="B10" s="9" t="s">
        <v>14</v>
      </c>
      <c r="C10" s="9" t="s">
        <v>16</v>
      </c>
      <c r="D10" s="11" t="s">
        <v>40</v>
      </c>
      <c r="E10" s="9" t="s">
        <v>41</v>
      </c>
      <c r="F10" s="12" t="s">
        <v>42</v>
      </c>
      <c r="G10" s="14">
        <v>2026.0</v>
      </c>
      <c r="H10" s="17" t="str">
        <f t="shared" si="1"/>
        <v/>
      </c>
      <c r="I10" s="17"/>
      <c r="J10" s="17"/>
      <c r="K10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3" max="3" width="25.75"/>
    <col customWidth="1" min="4" max="4" width="22.38"/>
    <col customWidth="1" min="5" max="5" width="26.0"/>
    <col customWidth="1" min="6" max="6" width="37.38"/>
    <col customWidth="1" min="10" max="10" width="6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1" t="s">
        <v>14</v>
      </c>
      <c r="C7" s="11" t="s">
        <v>24</v>
      </c>
      <c r="D7" s="11" t="s">
        <v>25</v>
      </c>
      <c r="E7" s="11" t="s">
        <v>26</v>
      </c>
      <c r="F7" s="11" t="s">
        <v>27</v>
      </c>
      <c r="G7" s="16">
        <v>2025.0</v>
      </c>
      <c r="H7" s="18" t="str">
        <f t="shared" ref="H7:H13" si="1">IF(I7&lt;&gt;"","✓","")</f>
        <v>✓</v>
      </c>
      <c r="I7" s="20">
        <v>2025.0</v>
      </c>
      <c r="J7" s="21">
        <v>1.0</v>
      </c>
      <c r="K7" s="22"/>
    </row>
    <row r="8">
      <c r="A8" s="7">
        <v>2.0</v>
      </c>
      <c r="B8" s="11" t="s">
        <v>14</v>
      </c>
      <c r="C8" s="11" t="s">
        <v>24</v>
      </c>
      <c r="D8" s="11" t="s">
        <v>51</v>
      </c>
      <c r="E8" s="11" t="s">
        <v>52</v>
      </c>
      <c r="F8" s="11" t="s">
        <v>27</v>
      </c>
      <c r="G8" s="16">
        <v>2025.0</v>
      </c>
      <c r="H8" s="18" t="str">
        <f t="shared" si="1"/>
        <v>✓</v>
      </c>
      <c r="I8" s="20">
        <v>2025.0</v>
      </c>
      <c r="J8" s="21">
        <v>1.0</v>
      </c>
      <c r="K8" s="22"/>
    </row>
    <row r="9">
      <c r="A9" s="7">
        <v>3.0</v>
      </c>
      <c r="B9" s="9" t="s">
        <v>14</v>
      </c>
      <c r="C9" s="9" t="s">
        <v>24</v>
      </c>
      <c r="D9" s="11" t="s">
        <v>57</v>
      </c>
      <c r="E9" s="9" t="s">
        <v>59</v>
      </c>
      <c r="F9" s="12" t="s">
        <v>62</v>
      </c>
      <c r="G9" s="14">
        <v>2026.0</v>
      </c>
      <c r="H9" s="18" t="str">
        <f t="shared" si="1"/>
        <v/>
      </c>
      <c r="I9" s="17"/>
      <c r="J9" s="17"/>
      <c r="K9" s="17"/>
    </row>
    <row r="10">
      <c r="A10" s="7">
        <v>4.0</v>
      </c>
      <c r="B10" s="9" t="s">
        <v>14</v>
      </c>
      <c r="C10" s="9" t="s">
        <v>24</v>
      </c>
      <c r="D10" s="11" t="s">
        <v>68</v>
      </c>
      <c r="E10" s="9" t="s">
        <v>69</v>
      </c>
      <c r="F10" s="12" t="s">
        <v>71</v>
      </c>
      <c r="G10" s="14">
        <v>2026.0</v>
      </c>
      <c r="H10" s="18" t="str">
        <f t="shared" si="1"/>
        <v/>
      </c>
      <c r="I10" s="17"/>
      <c r="J10" s="17"/>
      <c r="K10" s="17"/>
    </row>
    <row r="11">
      <c r="A11" s="7">
        <v>5.0</v>
      </c>
      <c r="B11" s="9" t="s">
        <v>14</v>
      </c>
      <c r="C11" s="9" t="s">
        <v>24</v>
      </c>
      <c r="D11" s="11" t="s">
        <v>74</v>
      </c>
      <c r="E11" s="9" t="s">
        <v>76</v>
      </c>
      <c r="F11" s="12" t="s">
        <v>77</v>
      </c>
      <c r="G11" s="14">
        <v>2026.0</v>
      </c>
      <c r="H11" s="18" t="str">
        <f t="shared" si="1"/>
        <v/>
      </c>
      <c r="I11" s="17"/>
      <c r="J11" s="17"/>
      <c r="K11" s="17"/>
    </row>
    <row r="12">
      <c r="A12" s="7">
        <v>6.0</v>
      </c>
      <c r="B12" s="9" t="s">
        <v>14</v>
      </c>
      <c r="C12" s="9" t="s">
        <v>24</v>
      </c>
      <c r="D12" s="11" t="s">
        <v>80</v>
      </c>
      <c r="E12" s="9" t="s">
        <v>81</v>
      </c>
      <c r="F12" s="12" t="s">
        <v>83</v>
      </c>
      <c r="G12" s="14">
        <v>2026.0</v>
      </c>
      <c r="H12" s="18" t="str">
        <f t="shared" si="1"/>
        <v/>
      </c>
      <c r="I12" s="17"/>
      <c r="J12" s="17"/>
      <c r="K12" s="17"/>
    </row>
    <row r="13">
      <c r="A13" s="7">
        <v>7.0</v>
      </c>
      <c r="B13" s="9" t="s">
        <v>14</v>
      </c>
      <c r="C13" s="9" t="s">
        <v>24</v>
      </c>
      <c r="D13" s="11" t="s">
        <v>86</v>
      </c>
      <c r="E13" s="9" t="s">
        <v>87</v>
      </c>
      <c r="F13" s="12" t="s">
        <v>88</v>
      </c>
      <c r="G13" s="14">
        <v>2026.0</v>
      </c>
      <c r="H13" s="18" t="str">
        <f t="shared" si="1"/>
        <v/>
      </c>
      <c r="I13" s="17"/>
      <c r="J13" s="17"/>
      <c r="K13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13.5"/>
    <col customWidth="1" min="4" max="4" width="21.38"/>
    <col customWidth="1" min="5" max="5" width="36.13"/>
    <col customWidth="1" min="6" max="6" width="45.88"/>
    <col customWidth="1" min="10" max="10" width="6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95</v>
      </c>
      <c r="D7" s="11" t="s">
        <v>96</v>
      </c>
      <c r="E7" s="9" t="s">
        <v>97</v>
      </c>
      <c r="F7" s="12" t="s">
        <v>98</v>
      </c>
      <c r="G7" s="14">
        <v>2026.0</v>
      </c>
      <c r="H7" s="17" t="str">
        <f t="shared" ref="H7:H15" si="1">IF(I7&lt;&gt;"","✓","")</f>
        <v/>
      </c>
      <c r="I7" s="17"/>
      <c r="J7" s="17"/>
      <c r="K7" s="17"/>
    </row>
    <row r="8">
      <c r="A8" s="7">
        <v>2.0</v>
      </c>
      <c r="B8" s="9" t="s">
        <v>14</v>
      </c>
      <c r="C8" s="9" t="s">
        <v>95</v>
      </c>
      <c r="D8" s="11" t="s">
        <v>99</v>
      </c>
      <c r="E8" s="9" t="s">
        <v>100</v>
      </c>
      <c r="F8" s="12" t="s">
        <v>101</v>
      </c>
      <c r="G8" s="14">
        <v>2026.0</v>
      </c>
      <c r="H8" s="17" t="str">
        <f t="shared" si="1"/>
        <v/>
      </c>
      <c r="I8" s="17"/>
      <c r="J8" s="17"/>
      <c r="K8" s="17"/>
    </row>
    <row r="9">
      <c r="A9" s="7">
        <v>3.0</v>
      </c>
      <c r="B9" s="9" t="s">
        <v>14</v>
      </c>
      <c r="C9" s="9" t="s">
        <v>95</v>
      </c>
      <c r="D9" s="11" t="s">
        <v>102</v>
      </c>
      <c r="E9" s="9" t="s">
        <v>103</v>
      </c>
      <c r="F9" s="12" t="s">
        <v>104</v>
      </c>
      <c r="G9" s="14">
        <v>2026.0</v>
      </c>
      <c r="H9" s="17" t="str">
        <f t="shared" si="1"/>
        <v/>
      </c>
      <c r="I9" s="17"/>
      <c r="J9" s="17"/>
      <c r="K9" s="17"/>
    </row>
    <row r="10">
      <c r="A10" s="7">
        <v>4.0</v>
      </c>
      <c r="B10" s="9" t="s">
        <v>14</v>
      </c>
      <c r="C10" s="9" t="s">
        <v>95</v>
      </c>
      <c r="D10" s="11" t="s">
        <v>105</v>
      </c>
      <c r="E10" s="9" t="s">
        <v>106</v>
      </c>
      <c r="F10" s="12" t="s">
        <v>107</v>
      </c>
      <c r="G10" s="14">
        <v>2026.0</v>
      </c>
      <c r="H10" s="17" t="str">
        <f t="shared" si="1"/>
        <v/>
      </c>
      <c r="I10" s="17"/>
      <c r="J10" s="17"/>
      <c r="K10" s="17"/>
    </row>
    <row r="11">
      <c r="A11" s="7">
        <v>5.0</v>
      </c>
      <c r="B11" s="9" t="s">
        <v>14</v>
      </c>
      <c r="C11" s="9" t="s">
        <v>95</v>
      </c>
      <c r="D11" s="11" t="s">
        <v>108</v>
      </c>
      <c r="E11" s="25" t="s">
        <v>109</v>
      </c>
      <c r="F11" s="12" t="s">
        <v>110</v>
      </c>
      <c r="G11" s="14">
        <v>2026.0</v>
      </c>
      <c r="H11" s="17" t="str">
        <f t="shared" si="1"/>
        <v/>
      </c>
      <c r="I11" s="17"/>
      <c r="J11" s="17"/>
      <c r="K11" s="17"/>
    </row>
    <row r="12">
      <c r="A12" s="7">
        <v>6.0</v>
      </c>
      <c r="B12" s="9" t="s">
        <v>14</v>
      </c>
      <c r="C12" s="9" t="s">
        <v>95</v>
      </c>
      <c r="D12" s="11" t="s">
        <v>111</v>
      </c>
      <c r="E12" s="9" t="s">
        <v>112</v>
      </c>
      <c r="F12" s="12" t="s">
        <v>113</v>
      </c>
      <c r="G12" s="14">
        <v>2026.0</v>
      </c>
      <c r="H12" s="17" t="str">
        <f t="shared" si="1"/>
        <v/>
      </c>
      <c r="I12" s="17"/>
      <c r="J12" s="17"/>
      <c r="K12" s="17"/>
    </row>
    <row r="13">
      <c r="A13" s="7">
        <v>7.0</v>
      </c>
      <c r="B13" s="9" t="s">
        <v>14</v>
      </c>
      <c r="C13" s="9" t="s">
        <v>95</v>
      </c>
      <c r="D13" s="11" t="s">
        <v>114</v>
      </c>
      <c r="E13" s="9" t="s">
        <v>115</v>
      </c>
      <c r="F13" s="12" t="s">
        <v>116</v>
      </c>
      <c r="G13" s="14">
        <v>2026.0</v>
      </c>
      <c r="H13" s="17" t="str">
        <f t="shared" si="1"/>
        <v/>
      </c>
      <c r="I13" s="17"/>
      <c r="J13" s="17"/>
      <c r="K13" s="17"/>
    </row>
    <row r="14">
      <c r="A14" s="7">
        <v>8.0</v>
      </c>
      <c r="B14" s="9" t="s">
        <v>14</v>
      </c>
      <c r="C14" s="9" t="s">
        <v>95</v>
      </c>
      <c r="D14" s="11" t="s">
        <v>117</v>
      </c>
      <c r="E14" s="9" t="s">
        <v>118</v>
      </c>
      <c r="F14" s="12" t="s">
        <v>119</v>
      </c>
      <c r="G14" s="14">
        <v>2026.0</v>
      </c>
      <c r="H14" s="17" t="str">
        <f t="shared" si="1"/>
        <v/>
      </c>
      <c r="I14" s="17"/>
      <c r="J14" s="17"/>
      <c r="K14" s="17"/>
    </row>
    <row r="15">
      <c r="A15" s="7">
        <v>9.0</v>
      </c>
      <c r="B15" s="9" t="s">
        <v>14</v>
      </c>
      <c r="C15" s="9" t="s">
        <v>95</v>
      </c>
      <c r="D15" s="11" t="s">
        <v>120</v>
      </c>
      <c r="E15" s="9" t="s">
        <v>121</v>
      </c>
      <c r="F15" s="12" t="s">
        <v>122</v>
      </c>
      <c r="G15" s="14">
        <v>2026.0</v>
      </c>
      <c r="H15" s="17" t="str">
        <f t="shared" si="1"/>
        <v/>
      </c>
      <c r="I15" s="17"/>
      <c r="J15" s="17"/>
      <c r="K15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