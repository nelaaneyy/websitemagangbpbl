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. KENALI BESAR" sheetId="1" r:id="rId5"/>
    <sheet state="visible" name="KEL. BAGAN PETE" sheetId="2" r:id="rId6"/>
    <sheet state="visible" name="KEL. PINANG MERAH" sheetId="3" r:id="rId7"/>
    <sheet state="visible" name="KE. SIMP RIMBO" sheetId="4" r:id="rId8"/>
  </sheets>
  <definedNames/>
  <calcPr/>
</workbook>
</file>

<file path=xl/sharedStrings.xml><?xml version="1.0" encoding="utf-8"?>
<sst xmlns="http://schemas.openxmlformats.org/spreadsheetml/2006/main" count="201" uniqueCount="102">
  <si>
    <t>REKAPITULASI USULAN DAN REALISASI PENERIMA BPBL PROVINSI JAMBI</t>
  </si>
  <si>
    <t>MELALUI KEGIATAN PLN (Sumber Dana APBN)</t>
  </si>
  <si>
    <t>TAHUN 2025-2026</t>
  </si>
  <si>
    <t>Provinsi: Jambi</t>
  </si>
  <si>
    <t>Kab/Kota: 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</si>
  <si>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</si>
  <si>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</si>
  <si>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</si>
  <si>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</si>
  <si>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</si>
  <si>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</si>
  <si>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</si>
  <si>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</si>
  <si>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</si>
  <si>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ALAM BARAJO</t>
  </si>
  <si>
    <t>SIMPANG RIMBO</t>
  </si>
  <si>
    <t>A. HADARANI</t>
  </si>
  <si>
    <t>KENALI BESAR</t>
  </si>
  <si>
    <t>PINANG MERAH</t>
  </si>
  <si>
    <t>ANANG ATEH</t>
  </si>
  <si>
    <t>ERLINA</t>
  </si>
  <si>
    <t>1571072403540041</t>
  </si>
  <si>
    <t>JL. WALET, RT. 010</t>
  </si>
  <si>
    <t>1571076911910001</t>
  </si>
  <si>
    <t>JL PATIMURA RT 005</t>
  </si>
  <si>
    <t>1571070107770241</t>
  </si>
  <si>
    <t>LR. BERADAT RT. 16</t>
  </si>
  <si>
    <t>BAGAN PETE</t>
  </si>
  <si>
    <t>BARIA VERA SARI</t>
  </si>
  <si>
    <t>1571076505830180</t>
  </si>
  <si>
    <t>JLN. PAZERO RT 11</t>
  </si>
  <si>
    <t>ARZAN</t>
  </si>
  <si>
    <t>1571012610840042</t>
  </si>
  <si>
    <t>JL. WALET RT. 010</t>
  </si>
  <si>
    <t>AYU SARTIKA</t>
  </si>
  <si>
    <t>1606096308890001</t>
  </si>
  <si>
    <t>LR. LUVERO RT. 004</t>
  </si>
  <si>
    <t>CANDRA</t>
  </si>
  <si>
    <t>1571072408820202</t>
  </si>
  <si>
    <t>JL. LINGKAR BARAT II LRG. GRIYA IDAMAN NO. 38 RT. 008</t>
  </si>
  <si>
    <t>AZHARI EFFENDI</t>
  </si>
  <si>
    <t>1405020207810002</t>
  </si>
  <si>
    <t>JL. KAPTEN PATTIMURA, NO. LR KELAPA GADING, RT. 01</t>
  </si>
  <si>
    <t>CEK NONA</t>
  </si>
  <si>
    <t>1571075804540000</t>
  </si>
  <si>
    <t>KHAMIM TOHARI</t>
  </si>
  <si>
    <t>1571070808880221</t>
  </si>
  <si>
    <t>JLN. RADEN SAYUTI, RT. 010</t>
  </si>
  <si>
    <t>DARMANTO</t>
  </si>
  <si>
    <t>DIAN AYU WULANDARI</t>
  </si>
  <si>
    <t>1571071703110003</t>
  </si>
  <si>
    <t>1571015509940020</t>
  </si>
  <si>
    <t>JL. SERSAN ANWAR BAY LRG. BERADAT RT. 16</t>
  </si>
  <si>
    <t>JLN. SALAM RT 11</t>
  </si>
  <si>
    <t>SAMSUNIR</t>
  </si>
  <si>
    <t>1571075406710020</t>
  </si>
  <si>
    <t>RESITA MEI HENDRA</t>
  </si>
  <si>
    <t>1571074705990081</t>
  </si>
  <si>
    <t>DHELLTA YHOHANES ROMADHAN</t>
  </si>
  <si>
    <t>JL. GRIYA IDAMAN, NO. 036, RT. 008</t>
  </si>
  <si>
    <t>1571072701970021</t>
  </si>
  <si>
    <t>JL. SARI BAKTI LRG. GARUDA III RT. 40</t>
  </si>
  <si>
    <t>SANDRO SILALAHI</t>
  </si>
  <si>
    <t>1205142102900005</t>
  </si>
  <si>
    <t>JL. BAGAN PETE, RT. 010</t>
  </si>
  <si>
    <t>M. IMRON</t>
  </si>
  <si>
    <t>1571072206820141</t>
  </si>
  <si>
    <t>JL. SELAMAR PERUM. AURA BIMANTARA RT. 09</t>
  </si>
  <si>
    <t>SISILAWATI</t>
  </si>
  <si>
    <t>1571014402880041</t>
  </si>
  <si>
    <t>MURNAWATI</t>
  </si>
  <si>
    <t>1571015008560061</t>
  </si>
  <si>
    <t>JL. PATIMURA RT. 10</t>
  </si>
  <si>
    <t>SYAHRUL</t>
  </si>
  <si>
    <t>1571071007640062</t>
  </si>
  <si>
    <t>NASRUN</t>
  </si>
  <si>
    <t>LORONG TANI, RT. 010</t>
  </si>
  <si>
    <t>1571070807710021</t>
  </si>
  <si>
    <t>JL. KAPTEN PATTIMURA, NO. 76 RT. 01</t>
  </si>
  <si>
    <t>NELIS MARNI</t>
  </si>
  <si>
    <t>1508135105740001</t>
  </si>
  <si>
    <t>JL. SEI. BENGKAL RT. 18</t>
  </si>
  <si>
    <t>WAMI KARMILA</t>
  </si>
  <si>
    <t>RAHMAT HIDAYAT</t>
  </si>
  <si>
    <t>1571014806900162</t>
  </si>
  <si>
    <t>1605100708950001</t>
  </si>
  <si>
    <t>LR. MASJID NURUL IMAN RT. 10</t>
  </si>
  <si>
    <t>JLN. RADEN SAYUTI, PERUMAHAN ASRI II, RT. 010</t>
  </si>
  <si>
    <t>RAMALIA GUSTIN</t>
  </si>
  <si>
    <t>1571045708750001</t>
  </si>
  <si>
    <t>JL. SARI BAKTI RT. 39, KEL. SIMPANG RIMBO</t>
  </si>
  <si>
    <t>RICKY ARIYANSYAH</t>
  </si>
  <si>
    <t>1571070211810021</t>
  </si>
  <si>
    <t>JL. KAPTEN PATTIMURA NO. LR KELAPA GADING RT. 01</t>
  </si>
  <si>
    <t>ROMI SAPUTRA</t>
  </si>
  <si>
    <t>1571070411860041</t>
  </si>
  <si>
    <t>ROSYIDIN</t>
  </si>
  <si>
    <t>1571070906710021</t>
  </si>
  <si>
    <t>LR. BHINNEKA RT. 16</t>
  </si>
  <si>
    <t>SUHARMAN</t>
  </si>
  <si>
    <t>1571071504800221</t>
  </si>
  <si>
    <t>JL. SERSAN ANWAR BAY LRG. SUKA JAYA RT. 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</si>
</sst>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color theme="1"/>
      <name val="Arial"/>
      <scheme val="minor"/>
    </font>
    <font>
      <b/>
      <sz val="11.0"/>
      <color theme="1"/>
      <name val="Calibri"/>
    </font>
    <font/>
    <font>
      <sz val="12.0"/>
      <color theme="1"/>
      <name val="Calibri"/>
    </font>
    <font>
      <sz val="11.0"/>
      <color theme="1"/>
      <name val="Aptos Narrow"/>
    </font>
    <font>
      <sz val="13.0"/>
      <color theme="1"/>
      <name val="Arial"/>
      <scheme val="minor"/>
    </font>
    <font>
      <sz val="12.0"/>
      <color rgb="FFFF0000"/>
      <name val="Calibri"/>
    </font>
    <font>
      <sz val="11.0"/>
      <color theme="1"/>
      <name val="&quot;Aptos Narrow&quot;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0" fontId="5" numFmtId="0" xfId="0" applyBorder="1" applyFont="1"/>
    <xf borderId="1" fillId="0" fontId="3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top"/>
    </xf>
    <xf borderId="1" fillId="0" fontId="8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vertical="bottom"/>
    </xf>
    <xf borderId="1" fillId="0" fontId="6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horizontal="center" vertical="bottom"/>
    </xf>
    <xf borderId="1" fillId="0" fontId="10" numFmtId="49" xfId="0" applyAlignment="1" applyBorder="1" applyFont="1" applyNumberFormat="1">
      <alignment horizontal="center" readingOrder="0" shrinkToFit="0" wrapText="0"/>
    </xf>
    <xf borderId="1" fillId="0" fontId="3" numFmtId="0" xfId="0" applyBorder="1" applyFont="1"/>
    <xf borderId="0" fillId="0" fontId="3" numFmtId="0" xfId="0" applyAlignment="1" applyFont="1">
      <alignment horizontal="center"/>
    </xf>
    <xf borderId="1" fillId="0" fontId="10" numFmtId="0" xfId="0" applyAlignment="1" applyBorder="1" applyFont="1">
      <alignment readingOrder="0" shrinkToFit="0" wrapText="0"/>
    </xf>
    <xf borderId="1" fillId="0" fontId="11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vertical="bottom"/>
    </xf>
    <xf borderId="1" fillId="0" fontId="7" numFmtId="0" xfId="0" applyAlignment="1" applyBorder="1" applyFont="1">
      <alignment vertical="top"/>
    </xf>
    <xf borderId="1" fillId="0" fontId="7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7.13"/>
    <col customWidth="1" min="3" max="3" width="22.25"/>
    <col customWidth="1" min="4" max="4" width="32.13"/>
    <col customWidth="1" min="5" max="5" width="26.88"/>
    <col customWidth="1" min="6" max="6" width="55.88"/>
    <col customWidth="1" min="10" max="10" width="7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3" t="s">
        <v>4</v>
      </c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6" t="s">
        <v>12</v>
      </c>
      <c r="I6" s="7"/>
      <c r="J6" s="8"/>
      <c r="K6" s="4" t="s">
        <v>13</v>
      </c>
    </row>
    <row r="7">
      <c r="A7" s="10">
        <v>1.0</v>
      </c>
      <c r="B7" s="12" t="s">
        <v>14</v>
      </c>
      <c r="C7" s="14" t="s">
        <v>17</v>
      </c>
      <c r="D7" s="16" t="s">
        <v>20</v>
      </c>
      <c r="E7" s="14" t="s">
        <v>23</v>
      </c>
      <c r="F7" s="16" t="s">
        <v>24</v>
      </c>
      <c r="G7" s="17">
        <v>2025.0</v>
      </c>
      <c r="H7" s="17" t="str">
        <f>IF(I7&lt;&gt;"","✓","")</f>
        <v>✓</v>
      </c>
      <c r="I7" s="17">
        <v>2025.0</v>
      </c>
      <c r="J7" s="17">
        <v>1.0</v>
      </c>
      <c r="K7" s="17"/>
    </row>
    <row r="8">
      <c r="A8" s="20"/>
    </row>
    <row r="9">
      <c r="A9" s="23"/>
    </row>
    <row r="10">
      <c r="A10" s="23"/>
    </row>
    <row r="11">
      <c r="A11" s="20"/>
    </row>
    <row r="14">
      <c r="A14" s="20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21.5"/>
    <col customWidth="1" min="3" max="3" width="24.88"/>
    <col customWidth="1" min="4" max="4" width="26.0"/>
    <col customWidth="1" min="5" max="5" width="25.75"/>
    <col customWidth="1" min="6" max="6" width="20.88"/>
    <col customWidth="1" min="10" max="10" width="5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5" t="s">
        <v>4</v>
      </c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6" t="s">
        <v>12</v>
      </c>
      <c r="I6" s="7"/>
      <c r="J6" s="8"/>
      <c r="K6" s="4" t="s">
        <v>13</v>
      </c>
    </row>
    <row r="7">
      <c r="A7" s="9">
        <v>1.0</v>
      </c>
      <c r="B7" s="18" t="s">
        <v>14</v>
      </c>
      <c r="C7" s="18" t="s">
        <v>27</v>
      </c>
      <c r="D7" s="19" t="s">
        <v>28</v>
      </c>
      <c r="E7" s="21" t="s">
        <v>29</v>
      </c>
      <c r="F7" s="24" t="s">
        <v>30</v>
      </c>
      <c r="G7" s="25">
        <v>2026.0</v>
      </c>
      <c r="H7" s="22" t="str">
        <f t="shared" ref="H7:H10" si="1">IF(I7&lt;&gt;"","✓","")</f>
        <v/>
      </c>
      <c r="I7" s="22"/>
      <c r="J7" s="22"/>
      <c r="K7" s="22"/>
    </row>
    <row r="8">
      <c r="A8" s="9">
        <v>2.0</v>
      </c>
      <c r="B8" s="18" t="s">
        <v>14</v>
      </c>
      <c r="C8" s="18" t="s">
        <v>27</v>
      </c>
      <c r="D8" s="19" t="s">
        <v>43</v>
      </c>
      <c r="E8" s="21" t="s">
        <v>44</v>
      </c>
      <c r="F8" s="24" t="s">
        <v>30</v>
      </c>
      <c r="G8" s="25">
        <v>2026.0</v>
      </c>
      <c r="H8" s="22" t="str">
        <f t="shared" si="1"/>
        <v/>
      </c>
      <c r="I8" s="22"/>
      <c r="J8" s="22"/>
      <c r="K8" s="22"/>
    </row>
    <row r="9">
      <c r="A9" s="9">
        <v>3.0</v>
      </c>
      <c r="B9" s="18" t="s">
        <v>14</v>
      </c>
      <c r="C9" s="18" t="s">
        <v>27</v>
      </c>
      <c r="D9" s="19" t="s">
        <v>49</v>
      </c>
      <c r="E9" s="21" t="s">
        <v>51</v>
      </c>
      <c r="F9" s="24" t="s">
        <v>53</v>
      </c>
      <c r="G9" s="25">
        <v>2026.0</v>
      </c>
      <c r="H9" s="22" t="str">
        <f t="shared" si="1"/>
        <v/>
      </c>
      <c r="I9" s="22"/>
      <c r="J9" s="22"/>
      <c r="K9" s="22"/>
    </row>
    <row r="10">
      <c r="A10" s="9">
        <v>4.0</v>
      </c>
      <c r="B10" s="18" t="s">
        <v>14</v>
      </c>
      <c r="C10" s="18" t="s">
        <v>27</v>
      </c>
      <c r="D10" s="19" t="s">
        <v>54</v>
      </c>
      <c r="E10" s="21" t="s">
        <v>55</v>
      </c>
      <c r="F10" s="24" t="s">
        <v>53</v>
      </c>
      <c r="G10" s="25">
        <v>2026.0</v>
      </c>
      <c r="H10" s="22" t="str">
        <f t="shared" si="1"/>
        <v/>
      </c>
      <c r="I10" s="22"/>
      <c r="J10" s="22"/>
      <c r="K10" s="22"/>
    </row>
    <row r="11">
      <c r="A11" s="23"/>
    </row>
    <row r="12">
      <c r="A12" s="23"/>
    </row>
    <row r="13">
      <c r="A13" s="23"/>
    </row>
    <row r="14">
      <c r="A14" s="23"/>
    </row>
    <row r="15">
      <c r="A15" s="23"/>
    </row>
    <row r="16">
      <c r="A16" s="23"/>
    </row>
    <row r="17">
      <c r="A17" s="23"/>
    </row>
    <row r="18">
      <c r="A18" s="23"/>
    </row>
    <row r="19">
      <c r="A19" s="23"/>
    </row>
    <row r="20">
      <c r="A20" s="23"/>
    </row>
    <row r="21">
      <c r="A21" s="23"/>
    </row>
    <row r="22">
      <c r="A22" s="23"/>
    </row>
    <row r="23">
      <c r="A23" s="23"/>
    </row>
    <row r="24">
      <c r="A24" s="23"/>
    </row>
    <row r="25">
      <c r="A25" s="23"/>
    </row>
    <row r="26">
      <c r="A26" s="23"/>
    </row>
    <row r="27">
      <c r="A27" s="23"/>
    </row>
    <row r="28">
      <c r="A28" s="23"/>
    </row>
    <row r="29">
      <c r="A29" s="23"/>
    </row>
    <row r="30">
      <c r="A30" s="23"/>
    </row>
    <row r="31">
      <c r="A31" s="23"/>
    </row>
    <row r="32">
      <c r="A32" s="23"/>
    </row>
    <row r="33">
      <c r="A33" s="23"/>
    </row>
    <row r="34">
      <c r="A34" s="23"/>
    </row>
    <row r="35">
      <c r="A35" s="23"/>
    </row>
    <row r="36">
      <c r="A36" s="23"/>
    </row>
    <row r="37">
      <c r="A37" s="23"/>
    </row>
    <row r="38">
      <c r="A38" s="23"/>
    </row>
    <row r="39">
      <c r="A39" s="23"/>
    </row>
    <row r="40">
      <c r="A40" s="23"/>
    </row>
    <row r="41">
      <c r="A41" s="23"/>
    </row>
    <row r="42">
      <c r="A42" s="23"/>
    </row>
    <row r="43">
      <c r="A43" s="23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  <row r="1001">
      <c r="A1001" s="23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1.25"/>
    <col customWidth="1" min="3" max="3" width="20.88"/>
    <col customWidth="1" min="4" max="4" width="23.38"/>
    <col customWidth="1" min="5" max="5" width="23.0"/>
    <col customWidth="1" min="6" max="6" width="54.88"/>
    <col customWidth="1" min="10" max="10" width="7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3" t="s">
        <v>4</v>
      </c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6" t="s">
        <v>12</v>
      </c>
      <c r="I6" s="7"/>
      <c r="J6" s="8"/>
      <c r="K6" s="4" t="s">
        <v>13</v>
      </c>
    </row>
    <row r="7">
      <c r="A7" s="13">
        <v>1.0</v>
      </c>
      <c r="B7" s="11" t="s">
        <v>14</v>
      </c>
      <c r="C7" s="11" t="s">
        <v>18</v>
      </c>
      <c r="D7" s="15" t="s">
        <v>19</v>
      </c>
      <c r="E7" s="11" t="s">
        <v>21</v>
      </c>
      <c r="F7" s="15" t="s">
        <v>22</v>
      </c>
      <c r="G7" s="11">
        <v>2026.0</v>
      </c>
      <c r="H7" s="22" t="str">
        <f t="shared" ref="H7:H16" si="1">IF(I7&lt;&gt;"","✓","")</f>
        <v/>
      </c>
      <c r="I7" s="22"/>
      <c r="J7" s="22"/>
      <c r="K7" s="22"/>
    </row>
    <row r="8">
      <c r="A8" s="13">
        <v>2.0</v>
      </c>
      <c r="B8" s="11" t="s">
        <v>14</v>
      </c>
      <c r="C8" s="11" t="s">
        <v>18</v>
      </c>
      <c r="D8" s="15" t="s">
        <v>31</v>
      </c>
      <c r="E8" s="11" t="s">
        <v>32</v>
      </c>
      <c r="F8" s="15" t="s">
        <v>33</v>
      </c>
      <c r="G8" s="11">
        <v>2026.0</v>
      </c>
      <c r="H8" s="22" t="str">
        <f t="shared" si="1"/>
        <v/>
      </c>
      <c r="I8" s="22"/>
      <c r="J8" s="22"/>
      <c r="K8" s="22"/>
    </row>
    <row r="9">
      <c r="A9" s="13">
        <v>3.0</v>
      </c>
      <c r="B9" s="11" t="s">
        <v>14</v>
      </c>
      <c r="C9" s="11" t="s">
        <v>18</v>
      </c>
      <c r="D9" s="15" t="s">
        <v>34</v>
      </c>
      <c r="E9" s="11" t="s">
        <v>35</v>
      </c>
      <c r="F9" s="15" t="s">
        <v>36</v>
      </c>
      <c r="G9" s="11">
        <v>2026.0</v>
      </c>
      <c r="H9" s="22" t="str">
        <f t="shared" si="1"/>
        <v/>
      </c>
      <c r="I9" s="22"/>
      <c r="J9" s="22"/>
      <c r="K9" s="22"/>
    </row>
    <row r="10">
      <c r="A10" s="13">
        <v>4.0</v>
      </c>
      <c r="B10" s="11" t="s">
        <v>14</v>
      </c>
      <c r="C10" s="11" t="s">
        <v>18</v>
      </c>
      <c r="D10" s="15" t="s">
        <v>37</v>
      </c>
      <c r="E10" s="11" t="s">
        <v>38</v>
      </c>
      <c r="F10" s="15" t="s">
        <v>39</v>
      </c>
      <c r="G10" s="11">
        <v>2026.0</v>
      </c>
      <c r="H10" s="22" t="str">
        <f t="shared" si="1"/>
        <v/>
      </c>
      <c r="I10" s="22"/>
      <c r="J10" s="22"/>
      <c r="K10" s="22"/>
    </row>
    <row r="11">
      <c r="A11" s="13">
        <v>5.0</v>
      </c>
      <c r="B11" s="11" t="s">
        <v>14</v>
      </c>
      <c r="C11" s="11" t="s">
        <v>18</v>
      </c>
      <c r="D11" s="15" t="s">
        <v>45</v>
      </c>
      <c r="E11" s="11" t="s">
        <v>46</v>
      </c>
      <c r="F11" s="15" t="s">
        <v>47</v>
      </c>
      <c r="G11" s="11">
        <v>2026.0</v>
      </c>
      <c r="H11" s="22" t="str">
        <f t="shared" si="1"/>
        <v/>
      </c>
      <c r="I11" s="22"/>
      <c r="J11" s="22"/>
      <c r="K11" s="22"/>
    </row>
    <row r="12">
      <c r="A12" s="13">
        <v>6.0</v>
      </c>
      <c r="B12" s="11" t="s">
        <v>14</v>
      </c>
      <c r="C12" s="11" t="s">
        <v>18</v>
      </c>
      <c r="D12" s="15" t="s">
        <v>56</v>
      </c>
      <c r="E12" s="11" t="s">
        <v>57</v>
      </c>
      <c r="F12" s="15" t="s">
        <v>59</v>
      </c>
      <c r="G12" s="11">
        <v>2026.0</v>
      </c>
      <c r="H12" s="22" t="str">
        <f t="shared" si="1"/>
        <v/>
      </c>
      <c r="I12" s="22"/>
      <c r="J12" s="22"/>
      <c r="K12" s="22"/>
    </row>
    <row r="13">
      <c r="A13" s="13">
        <v>7.0</v>
      </c>
      <c r="B13" s="11" t="s">
        <v>14</v>
      </c>
      <c r="C13" s="11" t="s">
        <v>18</v>
      </c>
      <c r="D13" s="15" t="s">
        <v>62</v>
      </c>
      <c r="E13" s="11" t="s">
        <v>63</v>
      </c>
      <c r="F13" s="15" t="s">
        <v>64</v>
      </c>
      <c r="G13" s="11">
        <v>2026.0</v>
      </c>
      <c r="H13" s="22" t="str">
        <f t="shared" si="1"/>
        <v/>
      </c>
      <c r="I13" s="22"/>
      <c r="J13" s="22"/>
      <c r="K13" s="22"/>
    </row>
    <row r="14">
      <c r="A14" s="13">
        <v>8.0</v>
      </c>
      <c r="B14" s="11" t="s">
        <v>14</v>
      </c>
      <c r="C14" s="11" t="s">
        <v>18</v>
      </c>
      <c r="D14" s="15" t="s">
        <v>68</v>
      </c>
      <c r="E14" s="11" t="s">
        <v>69</v>
      </c>
      <c r="F14" s="15" t="s">
        <v>22</v>
      </c>
      <c r="G14" s="11">
        <v>2026.0</v>
      </c>
      <c r="H14" s="22" t="str">
        <f t="shared" si="1"/>
        <v/>
      </c>
      <c r="I14" s="22"/>
      <c r="J14" s="22"/>
      <c r="K14" s="22"/>
    </row>
    <row r="15">
      <c r="A15" s="13">
        <v>9.0</v>
      </c>
      <c r="B15" s="11" t="s">
        <v>14</v>
      </c>
      <c r="C15" s="11" t="s">
        <v>18</v>
      </c>
      <c r="D15" s="15" t="s">
        <v>73</v>
      </c>
      <c r="E15" s="11" t="s">
        <v>74</v>
      </c>
      <c r="F15" s="15" t="s">
        <v>76</v>
      </c>
      <c r="G15" s="11">
        <v>2026.0</v>
      </c>
      <c r="H15" s="22" t="str">
        <f t="shared" si="1"/>
        <v/>
      </c>
      <c r="I15" s="22"/>
      <c r="J15" s="22"/>
      <c r="K15" s="22"/>
    </row>
    <row r="16">
      <c r="A16" s="13">
        <v>10.0</v>
      </c>
      <c r="B16" s="28" t="s">
        <v>14</v>
      </c>
      <c r="C16" s="11" t="s">
        <v>18</v>
      </c>
      <c r="D16" s="15" t="s">
        <v>82</v>
      </c>
      <c r="E16" s="11" t="s">
        <v>84</v>
      </c>
      <c r="F16" s="15" t="s">
        <v>87</v>
      </c>
      <c r="G16" s="11">
        <v>2026.0</v>
      </c>
      <c r="H16" s="22" t="str">
        <f t="shared" si="1"/>
        <v/>
      </c>
      <c r="I16" s="22"/>
      <c r="J16" s="22"/>
      <c r="K16" s="22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2.0"/>
    <col customWidth="1" min="3" max="3" width="34.25"/>
    <col customWidth="1" min="4" max="4" width="38.5"/>
    <col customWidth="1" min="5" max="5" width="33.25"/>
    <col customWidth="1" min="6" max="6" width="55.5"/>
    <col customWidth="1" min="10" max="10" width="6.1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3" t="s">
        <v>4</v>
      </c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6" t="s">
        <v>12</v>
      </c>
      <c r="I6" s="7"/>
      <c r="J6" s="8"/>
      <c r="K6" s="4" t="s">
        <v>13</v>
      </c>
    </row>
    <row r="7">
      <c r="A7" s="9">
        <v>1.0</v>
      </c>
      <c r="B7" s="11" t="s">
        <v>14</v>
      </c>
      <c r="C7" s="11" t="s">
        <v>15</v>
      </c>
      <c r="D7" s="15" t="s">
        <v>16</v>
      </c>
      <c r="E7" s="11" t="s">
        <v>25</v>
      </c>
      <c r="F7" s="15" t="s">
        <v>26</v>
      </c>
      <c r="G7" s="11">
        <v>2026.0</v>
      </c>
      <c r="H7" s="26" t="str">
        <f t="shared" ref="H7:H20" si="1">IF(I7&lt;&gt;"","✓","")</f>
        <v/>
      </c>
      <c r="I7" s="26"/>
      <c r="J7" s="26"/>
      <c r="K7" s="26"/>
    </row>
    <row r="8">
      <c r="A8" s="9">
        <v>2.0</v>
      </c>
      <c r="B8" s="11" t="s">
        <v>14</v>
      </c>
      <c r="C8" s="11" t="s">
        <v>15</v>
      </c>
      <c r="D8" s="15" t="s">
        <v>40</v>
      </c>
      <c r="E8" s="11" t="s">
        <v>41</v>
      </c>
      <c r="F8" s="15" t="s">
        <v>42</v>
      </c>
      <c r="G8" s="11">
        <v>2026.0</v>
      </c>
      <c r="H8" s="26" t="str">
        <f t="shared" si="1"/>
        <v/>
      </c>
      <c r="I8" s="26"/>
      <c r="J8" s="26"/>
      <c r="K8" s="26"/>
    </row>
    <row r="9">
      <c r="A9" s="9">
        <v>3.0</v>
      </c>
      <c r="B9" s="11" t="s">
        <v>14</v>
      </c>
      <c r="C9" s="11" t="s">
        <v>15</v>
      </c>
      <c r="D9" s="15" t="s">
        <v>48</v>
      </c>
      <c r="E9" s="11" t="s">
        <v>50</v>
      </c>
      <c r="F9" s="15" t="s">
        <v>52</v>
      </c>
      <c r="G9" s="11">
        <v>2026.0</v>
      </c>
      <c r="H9" s="26" t="str">
        <f t="shared" si="1"/>
        <v/>
      </c>
      <c r="I9" s="26"/>
      <c r="J9" s="26"/>
      <c r="K9" s="26"/>
    </row>
    <row r="10">
      <c r="A10" s="9">
        <v>4.0</v>
      </c>
      <c r="B10" s="11" t="s">
        <v>14</v>
      </c>
      <c r="C10" s="11" t="s">
        <v>15</v>
      </c>
      <c r="D10" s="27" t="s">
        <v>58</v>
      </c>
      <c r="E10" s="28" t="s">
        <v>60</v>
      </c>
      <c r="F10" s="27" t="s">
        <v>61</v>
      </c>
      <c r="G10" s="11">
        <v>2026.0</v>
      </c>
      <c r="H10" s="26" t="str">
        <f t="shared" si="1"/>
        <v/>
      </c>
      <c r="I10" s="26"/>
      <c r="J10" s="26"/>
      <c r="K10" s="26"/>
    </row>
    <row r="11">
      <c r="A11" s="9">
        <v>5.0</v>
      </c>
      <c r="B11" s="11" t="s">
        <v>14</v>
      </c>
      <c r="C11" s="11" t="s">
        <v>15</v>
      </c>
      <c r="D11" s="15" t="s">
        <v>65</v>
      </c>
      <c r="E11" s="11" t="s">
        <v>66</v>
      </c>
      <c r="F11" s="15" t="s">
        <v>67</v>
      </c>
      <c r="G11" s="11">
        <v>2026.0</v>
      </c>
      <c r="H11" s="26" t="str">
        <f t="shared" si="1"/>
        <v/>
      </c>
      <c r="I11" s="26"/>
      <c r="J11" s="26"/>
      <c r="K11" s="26"/>
    </row>
    <row r="12">
      <c r="A12" s="9">
        <v>6.0</v>
      </c>
      <c r="B12" s="11" t="s">
        <v>14</v>
      </c>
      <c r="C12" s="11" t="s">
        <v>15</v>
      </c>
      <c r="D12" s="15" t="s">
        <v>70</v>
      </c>
      <c r="E12" s="11" t="s">
        <v>71</v>
      </c>
      <c r="F12" s="15" t="s">
        <v>72</v>
      </c>
      <c r="G12" s="11">
        <v>2026.0</v>
      </c>
      <c r="H12" s="26" t="str">
        <f t="shared" si="1"/>
        <v/>
      </c>
      <c r="I12" s="26"/>
      <c r="J12" s="26"/>
      <c r="K12" s="26"/>
    </row>
    <row r="13">
      <c r="A13" s="9">
        <v>7.0</v>
      </c>
      <c r="B13" s="11" t="s">
        <v>14</v>
      </c>
      <c r="C13" s="11" t="s">
        <v>15</v>
      </c>
      <c r="D13" s="15" t="s">
        <v>75</v>
      </c>
      <c r="E13" s="11" t="s">
        <v>77</v>
      </c>
      <c r="F13" s="15" t="s">
        <v>78</v>
      </c>
      <c r="G13" s="11">
        <v>2026.0</v>
      </c>
      <c r="H13" s="26" t="str">
        <f t="shared" si="1"/>
        <v/>
      </c>
      <c r="I13" s="26"/>
      <c r="J13" s="26"/>
      <c r="K13" s="26"/>
    </row>
    <row r="14">
      <c r="A14" s="9">
        <v>8.0</v>
      </c>
      <c r="B14" s="11" t="s">
        <v>14</v>
      </c>
      <c r="C14" s="11" t="s">
        <v>15</v>
      </c>
      <c r="D14" s="15" t="s">
        <v>79</v>
      </c>
      <c r="E14" s="11" t="s">
        <v>80</v>
      </c>
      <c r="F14" s="15" t="s">
        <v>81</v>
      </c>
      <c r="G14" s="11">
        <v>2026.0</v>
      </c>
      <c r="H14" s="26" t="str">
        <f t="shared" si="1"/>
        <v/>
      </c>
      <c r="I14" s="26"/>
      <c r="J14" s="26"/>
      <c r="K14" s="26"/>
    </row>
    <row r="15">
      <c r="A15" s="9">
        <v>9.0</v>
      </c>
      <c r="B15" s="11" t="s">
        <v>14</v>
      </c>
      <c r="C15" s="11" t="s">
        <v>15</v>
      </c>
      <c r="D15" s="15" t="s">
        <v>83</v>
      </c>
      <c r="E15" s="11" t="s">
        <v>85</v>
      </c>
      <c r="F15" s="15" t="s">
        <v>86</v>
      </c>
      <c r="G15" s="11">
        <v>2026.0</v>
      </c>
      <c r="H15" s="26" t="str">
        <f t="shared" si="1"/>
        <v/>
      </c>
      <c r="I15" s="26"/>
      <c r="J15" s="26"/>
      <c r="K15" s="26"/>
    </row>
    <row r="16">
      <c r="A16" s="9">
        <v>10.0</v>
      </c>
      <c r="B16" s="11" t="s">
        <v>14</v>
      </c>
      <c r="C16" s="11" t="s">
        <v>15</v>
      </c>
      <c r="D16" s="15" t="s">
        <v>88</v>
      </c>
      <c r="E16" s="11" t="s">
        <v>89</v>
      </c>
      <c r="F16" s="15" t="s">
        <v>90</v>
      </c>
      <c r="G16" s="11">
        <v>2026.0</v>
      </c>
      <c r="H16" s="26" t="str">
        <f t="shared" si="1"/>
        <v/>
      </c>
      <c r="I16" s="26"/>
      <c r="J16" s="26"/>
      <c r="K16" s="26"/>
    </row>
    <row r="17">
      <c r="A17" s="9">
        <v>11.0</v>
      </c>
      <c r="B17" s="11" t="s">
        <v>14</v>
      </c>
      <c r="C17" s="11" t="s">
        <v>15</v>
      </c>
      <c r="D17" s="15" t="s">
        <v>91</v>
      </c>
      <c r="E17" s="11" t="s">
        <v>92</v>
      </c>
      <c r="F17" s="15" t="s">
        <v>93</v>
      </c>
      <c r="G17" s="11">
        <v>2026.0</v>
      </c>
      <c r="H17" s="26" t="str">
        <f t="shared" si="1"/>
        <v/>
      </c>
      <c r="I17" s="26"/>
      <c r="J17" s="26"/>
      <c r="K17" s="26"/>
    </row>
    <row r="18">
      <c r="A18" s="9">
        <v>12.0</v>
      </c>
      <c r="B18" s="11" t="s">
        <v>14</v>
      </c>
      <c r="C18" s="11" t="s">
        <v>15</v>
      </c>
      <c r="D18" s="15" t="s">
        <v>94</v>
      </c>
      <c r="E18" s="11" t="s">
        <v>95</v>
      </c>
      <c r="F18" s="15" t="s">
        <v>26</v>
      </c>
      <c r="G18" s="11">
        <v>2026.0</v>
      </c>
      <c r="H18" s="26" t="str">
        <f t="shared" si="1"/>
        <v/>
      </c>
      <c r="I18" s="26"/>
      <c r="J18" s="26"/>
      <c r="K18" s="26"/>
    </row>
    <row r="19">
      <c r="A19" s="9">
        <v>13.0</v>
      </c>
      <c r="B19" s="11" t="s">
        <v>14</v>
      </c>
      <c r="C19" s="11" t="s">
        <v>15</v>
      </c>
      <c r="D19" s="15" t="s">
        <v>96</v>
      </c>
      <c r="E19" s="11" t="s">
        <v>97</v>
      </c>
      <c r="F19" s="15" t="s">
        <v>98</v>
      </c>
      <c r="G19" s="11">
        <v>2026.0</v>
      </c>
      <c r="H19" s="26" t="str">
        <f t="shared" si="1"/>
        <v/>
      </c>
      <c r="I19" s="26"/>
      <c r="J19" s="26"/>
      <c r="K19" s="26"/>
    </row>
    <row r="20">
      <c r="A20" s="9">
        <v>14.0</v>
      </c>
      <c r="B20" s="11" t="s">
        <v>14</v>
      </c>
      <c r="C20" s="28" t="s">
        <v>15</v>
      </c>
      <c r="D20" s="15" t="s">
        <v>99</v>
      </c>
      <c r="E20" s="11" t="s">
        <v>100</v>
      </c>
      <c r="F20" s="15" t="s">
        <v>101</v>
      </c>
      <c r="G20" s="11">
        <v>2026.0</v>
      </c>
      <c r="H20" s="26" t="str">
        <f t="shared" si="1"/>
        <v/>
      </c>
      <c r="I20" s="26"/>
      <c r="J20" s="26"/>
      <c r="K20" s="26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