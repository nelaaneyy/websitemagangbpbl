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KIT MAKMUR" sheetId="1" r:id="rId5"/>
    <sheet state="visible" name="BERKAH" sheetId="2" r:id="rId6"/>
    <sheet state="visible" name="BAKTI MULYA" sheetId="3" r:id="rId7"/>
    <sheet state="visible" name="MARGA MULYA" sheetId="4" r:id="rId8"/>
    <sheet state="visible" name="PANCA BAKTI" sheetId="5" r:id="rId9"/>
    <sheet state="visible" name="PANCA MULYA" sheetId="6" r:id="rId10"/>
    <sheet state="visible" name="TANJUNG HARAPAN" sheetId="7" r:id="rId11"/>
  </sheets>
  <definedNames/>
  <calcPr/>
</workbook>
</file>

<file path=xl/sharedStrings.xml><?xml version="1.0" encoding="utf-8"?>
<sst xmlns="http://schemas.openxmlformats.org/spreadsheetml/2006/main" count="308" uniqueCount="127">
  <si>
    <t>REKAPITULASI USULAN DAN REALISASI PENERIMA BPBL PROVINSI JAMBI</t>
  </si>
  <si>
    <t>MELALUI KEGIATAN PLN (Sumber Dana APBN)</t>
  </si>
  <si>
    <t>TAHUN 2025-2026</t>
  </si>
  <si>
    <t>Kab/Kota</t>
  </si>
  <si>
    <t>: Kabupaten Muaro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</si>
  <si>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</si>
  <si>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</si>
  <si>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</si>
  <si>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</si>
  <si>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</si>
  <si>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</si>
  <si>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</si>
  <si>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</si>
  <si>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</si>
  <si>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SUNGAI BAHAR</t>
  </si>
  <si>
    <t>BUKIT MAKMUR</t>
  </si>
  <si>
    <t>MARGA MULYA</t>
  </si>
  <si>
    <t>BERKAH</t>
  </si>
  <si>
    <t>BADRIAH</t>
  </si>
  <si>
    <t>DYKI SETIAWAN</t>
  </si>
  <si>
    <t>AZIS NUR RACHMAT</t>
  </si>
  <si>
    <t>1505074605670003</t>
  </si>
  <si>
    <t>1505070510000002</t>
  </si>
  <si>
    <t>BAKTI MULYA</t>
  </si>
  <si>
    <t>1505072505910001</t>
  </si>
  <si>
    <t>JL. JERUK RT 12</t>
  </si>
  <si>
    <t>DUSUN SUKASARI RT.001/001</t>
  </si>
  <si>
    <t>ADITYA DWI KARTIKA</t>
  </si>
  <si>
    <t>RT 12 DESA BERKAH</t>
  </si>
  <si>
    <t>1505070103850003</t>
  </si>
  <si>
    <t>RT. 001</t>
  </si>
  <si>
    <t>LILIK NOVIYANTO</t>
  </si>
  <si>
    <t>1505072007890004</t>
  </si>
  <si>
    <t>EDI SAPUTRA</t>
  </si>
  <si>
    <t>RT 11 DESA BERKAH</t>
  </si>
  <si>
    <t>1505101611910004</t>
  </si>
  <si>
    <t>PENYERUKAN RT 13</t>
  </si>
  <si>
    <t>DANANG SAPUTRA</t>
  </si>
  <si>
    <t>1807081504840001</t>
  </si>
  <si>
    <t>DUSUN SUKAMAJU RT.005/002</t>
  </si>
  <si>
    <t>MUHAMMAD NURIL ALFARIZI</t>
  </si>
  <si>
    <t>3509142809920002</t>
  </si>
  <si>
    <t>INDRA ARY AY</t>
  </si>
  <si>
    <t>1505071407970001</t>
  </si>
  <si>
    <t>JL. DELIMA RT 06</t>
  </si>
  <si>
    <t>SLAMET</t>
  </si>
  <si>
    <t>1505070606990004</t>
  </si>
  <si>
    <t>PITO GUNAWAN</t>
  </si>
  <si>
    <t>1505070703020002</t>
  </si>
  <si>
    <t>BUKIT MAKMU RT 13</t>
  </si>
  <si>
    <t>AGUS RIFA'I</t>
  </si>
  <si>
    <t>1504072703850001</t>
  </si>
  <si>
    <t>RT. 002</t>
  </si>
  <si>
    <t>PRIHANTO</t>
  </si>
  <si>
    <t>1505070508800001</t>
  </si>
  <si>
    <t>JL. SALAK RT 02</t>
  </si>
  <si>
    <t>RIKI IRIANTO</t>
  </si>
  <si>
    <t>BEJO NGATMO</t>
  </si>
  <si>
    <t>1505072706830003</t>
  </si>
  <si>
    <t>1504071206840001</t>
  </si>
  <si>
    <t>JL. SALAK RT 03</t>
  </si>
  <si>
    <t>TURINO</t>
  </si>
  <si>
    <t>1505070102500002</t>
  </si>
  <si>
    <t>JL. MANGGIS RT 05</t>
  </si>
  <si>
    <t>DWI ROBIYANTO</t>
  </si>
  <si>
    <t>1505072901960001</t>
  </si>
  <si>
    <t>UJANG IRPAN</t>
  </si>
  <si>
    <t>1505071903870004</t>
  </si>
  <si>
    <t>ROFIATUN</t>
  </si>
  <si>
    <t>1505074603890003</t>
  </si>
  <si>
    <t>YULI AGUNG SAPUTRA</t>
  </si>
  <si>
    <t>1505070207917001</t>
  </si>
  <si>
    <t>PANCA BAKTI</t>
  </si>
  <si>
    <t>MUDJIONO</t>
  </si>
  <si>
    <t>1505071705850004</t>
  </si>
  <si>
    <t>RT 9 DUSUN WONOREJO</t>
  </si>
  <si>
    <t>OSTER SIRAIT</t>
  </si>
  <si>
    <t>1571070611740001</t>
  </si>
  <si>
    <t>RIA DAMAYANTI</t>
  </si>
  <si>
    <t>1505075105850004</t>
  </si>
  <si>
    <t>SITI ROHANAH</t>
  </si>
  <si>
    <t>1802266710790005</t>
  </si>
  <si>
    <t>YENI UJMAYAH</t>
  </si>
  <si>
    <t>1811056311870002</t>
  </si>
  <si>
    <t>PANCA MULYA</t>
  </si>
  <si>
    <t>ADI YUSWANTORO</t>
  </si>
  <si>
    <t>1505072505000006</t>
  </si>
  <si>
    <t>RT 02</t>
  </si>
  <si>
    <t>AGUS NOWI</t>
  </si>
  <si>
    <t>1505072008860001</t>
  </si>
  <si>
    <t>RT 01</t>
  </si>
  <si>
    <t>AHMAD NUR ALI M</t>
  </si>
  <si>
    <t>1505072011930001</t>
  </si>
  <si>
    <t>ANGGARA SUWITO</t>
  </si>
  <si>
    <t>1505073112840009</t>
  </si>
  <si>
    <t>BAMBANG IRAWAN</t>
  </si>
  <si>
    <t>1505071012810002</t>
  </si>
  <si>
    <t>DWI YULIA APRILIA</t>
  </si>
  <si>
    <t>1505090204900003</t>
  </si>
  <si>
    <t>GATHOT YULIONO</t>
  </si>
  <si>
    <t>3502072507880001</t>
  </si>
  <si>
    <t>HIDAYATUL SIBYANI</t>
  </si>
  <si>
    <t>1505070606790004</t>
  </si>
  <si>
    <t>KASNAN</t>
  </si>
  <si>
    <t>1505070610640001</t>
  </si>
  <si>
    <t>MEDIA HENDIKO J</t>
  </si>
  <si>
    <t>1504033308820005</t>
  </si>
  <si>
    <t>WASIEM</t>
  </si>
  <si>
    <t>1505075309610001</t>
  </si>
  <si>
    <t>RT 11</t>
  </si>
  <si>
    <t>WITRIANI</t>
  </si>
  <si>
    <t>15050767077830007</t>
  </si>
  <si>
    <t>TANJUNG HARAPAN</t>
  </si>
  <si>
    <t>HASAN</t>
  </si>
  <si>
    <t>1505071608730003</t>
  </si>
  <si>
    <t>RT. 03</t>
  </si>
  <si>
    <t>MUHARLIS FIRDAUS</t>
  </si>
  <si>
    <t>1505071803960001</t>
  </si>
  <si>
    <t>RT. 07</t>
  </si>
  <si>
    <t>RANMA FADLI</t>
  </si>
  <si>
    <t>1505072310060002</t>
  </si>
  <si>
    <t>RT. 08</t>
  </si>
  <si>
    <t>SARINTEN</t>
  </si>
  <si>
    <t>1505076310897001</t>
  </si>
  <si>
    <t>RT. 05</t>
  </si>
  <si>
    <t>TEGUH GIYARTO</t>
  </si>
  <si>
    <t>1505072110890004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</si>
</sst>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ill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3" fontId="3" numFmtId="0" xfId="0" applyAlignment="1" applyBorder="1" applyFill="1" applyFont="1">
      <alignment horizontal="center" readingOrder="0" vertical="top"/>
    </xf>
    <xf borderId="1" fillId="3" fontId="3" numFmtId="0" xfId="0" applyAlignment="1" applyBorder="1" applyFill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20.5"/>
    <col customWidth="1" min="4" max="4" width="20.13"/>
    <col customWidth="1" min="5" max="5" width="18.63"/>
    <col customWidth="1" min="6" max="6" width="22.5"/>
    <col customWidth="1" min="8" max="8" width="3.5"/>
    <col customWidth="1" min="9" max="9" width="7.38"/>
    <col customWidth="1" min="10" max="10" width="3.75"/>
    <col customWidth="1" min="11" max="11" width="21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15</v>
      </c>
      <c r="D7" s="11" t="s">
        <v>18</v>
      </c>
      <c r="E7" s="13" t="s">
        <v>21</v>
      </c>
      <c r="F7" s="13" t="s">
        <v>25</v>
      </c>
      <c r="G7" s="11">
        <v>2025.0</v>
      </c>
      <c r="H7" s="16" t="str">
        <f t="shared" ref="H7:H14" si="1">IF(I7&lt;&gt;"","✓","")</f>
        <v/>
      </c>
      <c r="I7" s="17"/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15</v>
      </c>
      <c r="D8" s="11" t="s">
        <v>33</v>
      </c>
      <c r="E8" s="13" t="s">
        <v>35</v>
      </c>
      <c r="F8" s="13" t="s">
        <v>36</v>
      </c>
      <c r="G8" s="11">
        <v>2025.0</v>
      </c>
      <c r="H8" s="16" t="str">
        <f t="shared" si="1"/>
        <v/>
      </c>
      <c r="I8" s="17"/>
      <c r="J8" s="18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10" t="s">
        <v>14</v>
      </c>
      <c r="C9" s="10" t="s">
        <v>15</v>
      </c>
      <c r="D9" s="11" t="s">
        <v>42</v>
      </c>
      <c r="E9" s="13" t="s">
        <v>43</v>
      </c>
      <c r="F9" s="13" t="s">
        <v>44</v>
      </c>
      <c r="G9" s="11">
        <v>2025.0</v>
      </c>
      <c r="H9" s="16" t="str">
        <f t="shared" si="1"/>
        <v/>
      </c>
      <c r="I9" s="17"/>
      <c r="J9" s="18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10" t="s">
        <v>14</v>
      </c>
      <c r="C10" s="10" t="s">
        <v>15</v>
      </c>
      <c r="D10" s="11" t="s">
        <v>47</v>
      </c>
      <c r="E10" s="13" t="s">
        <v>48</v>
      </c>
      <c r="F10" s="13" t="s">
        <v>49</v>
      </c>
      <c r="G10" s="11">
        <v>2025.0</v>
      </c>
      <c r="H10" s="16" t="str">
        <f t="shared" si="1"/>
        <v/>
      </c>
      <c r="I10" s="17"/>
      <c r="J10" s="18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10" t="s">
        <v>14</v>
      </c>
      <c r="C11" s="10" t="s">
        <v>15</v>
      </c>
      <c r="D11" s="11" t="s">
        <v>53</v>
      </c>
      <c r="E11" s="13" t="s">
        <v>54</v>
      </c>
      <c r="F11" s="13" t="s">
        <v>55</v>
      </c>
      <c r="G11" s="11">
        <v>2025.0</v>
      </c>
      <c r="H11" s="16" t="str">
        <f t="shared" si="1"/>
        <v/>
      </c>
      <c r="I11" s="17"/>
      <c r="J11" s="18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10" t="s">
        <v>14</v>
      </c>
      <c r="C12" s="10" t="s">
        <v>15</v>
      </c>
      <c r="D12" s="11" t="s">
        <v>56</v>
      </c>
      <c r="E12" s="13" t="s">
        <v>58</v>
      </c>
      <c r="F12" s="13" t="s">
        <v>60</v>
      </c>
      <c r="G12" s="11">
        <v>2025.0</v>
      </c>
      <c r="H12" s="16" t="str">
        <f t="shared" si="1"/>
        <v/>
      </c>
      <c r="I12" s="17"/>
      <c r="J12" s="18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v>7.0</v>
      </c>
      <c r="B13" s="10" t="s">
        <v>14</v>
      </c>
      <c r="C13" s="10" t="s">
        <v>15</v>
      </c>
      <c r="D13" s="11" t="s">
        <v>61</v>
      </c>
      <c r="E13" s="13" t="s">
        <v>62</v>
      </c>
      <c r="F13" s="13" t="s">
        <v>63</v>
      </c>
      <c r="G13" s="11">
        <v>2025.0</v>
      </c>
      <c r="H13" s="16" t="str">
        <f t="shared" si="1"/>
        <v/>
      </c>
      <c r="I13" s="17"/>
      <c r="J13" s="18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>
        <v>8.0</v>
      </c>
      <c r="B14" s="10" t="s">
        <v>14</v>
      </c>
      <c r="C14" s="10" t="s">
        <v>15</v>
      </c>
      <c r="D14" s="11" t="s">
        <v>66</v>
      </c>
      <c r="E14" s="13" t="s">
        <v>67</v>
      </c>
      <c r="F14" s="13" t="s">
        <v>49</v>
      </c>
      <c r="G14" s="11">
        <v>2025.0</v>
      </c>
      <c r="H14" s="16" t="str">
        <f t="shared" si="1"/>
        <v/>
      </c>
      <c r="I14" s="17"/>
      <c r="J14" s="18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20.5"/>
    <col customWidth="1" min="4" max="4" width="25.38"/>
    <col customWidth="1" min="5" max="5" width="18.63"/>
    <col customWidth="1" min="6" max="6" width="22.5"/>
    <col customWidth="1" min="8" max="8" width="3.5"/>
    <col customWidth="1" min="9" max="9" width="7.38"/>
    <col customWidth="1" min="10" max="10" width="3.75"/>
    <col customWidth="1" min="11" max="11" width="21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17</v>
      </c>
      <c r="D7" s="12" t="s">
        <v>20</v>
      </c>
      <c r="E7" s="14" t="s">
        <v>24</v>
      </c>
      <c r="F7" s="14" t="s">
        <v>28</v>
      </c>
      <c r="G7" s="12">
        <v>2026.0</v>
      </c>
      <c r="H7" s="16" t="str">
        <f t="shared" ref="H7:H10" si="1">IF(I7&lt;&gt;"","✓","")</f>
        <v/>
      </c>
      <c r="I7" s="17"/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17</v>
      </c>
      <c r="D8" s="12" t="s">
        <v>31</v>
      </c>
      <c r="E8" s="14" t="s">
        <v>32</v>
      </c>
      <c r="F8" s="14" t="s">
        <v>34</v>
      </c>
      <c r="G8" s="12">
        <v>2026.0</v>
      </c>
      <c r="H8" s="16" t="str">
        <f t="shared" si="1"/>
        <v/>
      </c>
      <c r="I8" s="17"/>
      <c r="J8" s="18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10" t="s">
        <v>14</v>
      </c>
      <c r="C9" s="10" t="s">
        <v>17</v>
      </c>
      <c r="D9" s="19" t="s">
        <v>40</v>
      </c>
      <c r="E9" s="20" t="s">
        <v>41</v>
      </c>
      <c r="F9" s="14" t="s">
        <v>34</v>
      </c>
      <c r="G9" s="12">
        <v>2026.0</v>
      </c>
      <c r="H9" s="16" t="str">
        <f t="shared" si="1"/>
        <v/>
      </c>
      <c r="I9" s="17"/>
      <c r="J9" s="18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10" t="s">
        <v>14</v>
      </c>
      <c r="C10" s="10" t="s">
        <v>17</v>
      </c>
      <c r="D10" s="12" t="s">
        <v>45</v>
      </c>
      <c r="E10" s="14" t="s">
        <v>46</v>
      </c>
      <c r="F10" s="14" t="s">
        <v>34</v>
      </c>
      <c r="G10" s="12">
        <v>2026.0</v>
      </c>
      <c r="H10" s="16" t="str">
        <f t="shared" si="1"/>
        <v/>
      </c>
      <c r="I10" s="17"/>
      <c r="J10" s="18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20.5"/>
    <col customWidth="1" min="4" max="4" width="25.38"/>
    <col customWidth="1" min="5" max="5" width="18.63"/>
    <col customWidth="1" min="6" max="6" width="22.5"/>
    <col customWidth="1" min="8" max="8" width="3.5"/>
    <col customWidth="1" min="9" max="9" width="7.38"/>
    <col customWidth="1" min="10" max="10" width="3.75"/>
    <col customWidth="1" min="11" max="11" width="21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23</v>
      </c>
      <c r="D7" s="15" t="s">
        <v>27</v>
      </c>
      <c r="E7" s="15" t="s">
        <v>29</v>
      </c>
      <c r="F7" s="15" t="s">
        <v>30</v>
      </c>
      <c r="G7" s="11">
        <v>2026.0</v>
      </c>
      <c r="H7" s="16" t="str">
        <f t="shared" ref="H7:H12" si="1">IF(I7&lt;&gt;"","✓","")</f>
        <v/>
      </c>
      <c r="I7" s="17"/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23</v>
      </c>
      <c r="D8" s="15" t="s">
        <v>50</v>
      </c>
      <c r="E8" s="15" t="s">
        <v>51</v>
      </c>
      <c r="F8" s="15" t="s">
        <v>52</v>
      </c>
      <c r="G8" s="11">
        <v>2026.0</v>
      </c>
      <c r="H8" s="16" t="str">
        <f t="shared" si="1"/>
        <v/>
      </c>
      <c r="I8" s="17"/>
      <c r="J8" s="18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10" t="s">
        <v>14</v>
      </c>
      <c r="C9" s="10" t="s">
        <v>23</v>
      </c>
      <c r="D9" s="15" t="s">
        <v>57</v>
      </c>
      <c r="E9" s="15" t="s">
        <v>59</v>
      </c>
      <c r="F9" s="15" t="s">
        <v>52</v>
      </c>
      <c r="G9" s="11">
        <v>2026.0</v>
      </c>
      <c r="H9" s="16" t="str">
        <f t="shared" si="1"/>
        <v/>
      </c>
      <c r="I9" s="17"/>
      <c r="J9" s="18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10" t="s">
        <v>14</v>
      </c>
      <c r="C10" s="10" t="s">
        <v>23</v>
      </c>
      <c r="D10" s="15" t="s">
        <v>64</v>
      </c>
      <c r="E10" s="15" t="s">
        <v>65</v>
      </c>
      <c r="F10" s="15" t="s">
        <v>52</v>
      </c>
      <c r="G10" s="11">
        <v>2026.0</v>
      </c>
      <c r="H10" s="16" t="str">
        <f t="shared" si="1"/>
        <v/>
      </c>
      <c r="I10" s="17"/>
      <c r="J10" s="18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10" t="s">
        <v>14</v>
      </c>
      <c r="C11" s="10" t="s">
        <v>23</v>
      </c>
      <c r="D11" s="15" t="s">
        <v>68</v>
      </c>
      <c r="E11" s="15" t="s">
        <v>69</v>
      </c>
      <c r="F11" s="15" t="s">
        <v>30</v>
      </c>
      <c r="G11" s="11">
        <v>2026.0</v>
      </c>
      <c r="H11" s="16" t="str">
        <f t="shared" si="1"/>
        <v/>
      </c>
      <c r="I11" s="17"/>
      <c r="J11" s="18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10" t="s">
        <v>14</v>
      </c>
      <c r="C12" s="10" t="s">
        <v>23</v>
      </c>
      <c r="D12" s="15" t="s">
        <v>70</v>
      </c>
      <c r="E12" s="15" t="s">
        <v>71</v>
      </c>
      <c r="F12" s="15" t="s">
        <v>52</v>
      </c>
      <c r="G12" s="11">
        <v>2026.0</v>
      </c>
      <c r="H12" s="16" t="str">
        <f t="shared" si="1"/>
        <v/>
      </c>
      <c r="I12" s="17"/>
      <c r="J12" s="18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20.5"/>
    <col customWidth="1" min="4" max="4" width="25.38"/>
    <col customWidth="1" min="5" max="5" width="18.63"/>
    <col customWidth="1" min="6" max="6" width="26.88"/>
    <col customWidth="1" min="8" max="8" width="3.5"/>
    <col customWidth="1" min="9" max="9" width="7.38"/>
    <col customWidth="1" min="10" max="10" width="3.75"/>
    <col customWidth="1" min="11" max="11" width="21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16</v>
      </c>
      <c r="D7" s="11" t="s">
        <v>19</v>
      </c>
      <c r="E7" s="13" t="s">
        <v>22</v>
      </c>
      <c r="F7" s="13" t="s">
        <v>26</v>
      </c>
      <c r="G7" s="11">
        <v>2026.0</v>
      </c>
      <c r="H7" s="16" t="str">
        <f t="shared" ref="H7:H8" si="1">IF(I7&lt;&gt;"","✓","")</f>
        <v/>
      </c>
      <c r="I7" s="17"/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16</v>
      </c>
      <c r="D8" s="11" t="s">
        <v>37</v>
      </c>
      <c r="E8" s="13" t="s">
        <v>38</v>
      </c>
      <c r="F8" s="13" t="s">
        <v>39</v>
      </c>
      <c r="G8" s="11">
        <v>2026.0</v>
      </c>
      <c r="H8" s="16" t="str">
        <f t="shared" si="1"/>
        <v/>
      </c>
      <c r="I8" s="17"/>
      <c r="J8" s="18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20.5"/>
    <col customWidth="1" min="4" max="4" width="25.38"/>
    <col customWidth="1" min="5" max="5" width="18.63"/>
    <col customWidth="1" min="6" max="6" width="22.5"/>
    <col customWidth="1" min="8" max="8" width="3.5"/>
    <col customWidth="1" min="9" max="9" width="7.38"/>
    <col customWidth="1" min="10" max="10" width="3.75"/>
    <col customWidth="1" min="11" max="11" width="21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72</v>
      </c>
      <c r="D7" s="11" t="s">
        <v>73</v>
      </c>
      <c r="E7" s="13" t="s">
        <v>74</v>
      </c>
      <c r="F7" s="13" t="s">
        <v>75</v>
      </c>
      <c r="G7" s="11">
        <v>2026.0</v>
      </c>
      <c r="H7" s="16" t="str">
        <f t="shared" ref="H7:H11" si="1">IF(I7&lt;&gt;"","✓","")</f>
        <v/>
      </c>
      <c r="I7" s="17"/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72</v>
      </c>
      <c r="D8" s="11" t="s">
        <v>76</v>
      </c>
      <c r="E8" s="13" t="s">
        <v>77</v>
      </c>
      <c r="F8" s="13" t="s">
        <v>75</v>
      </c>
      <c r="G8" s="11">
        <v>2026.0</v>
      </c>
      <c r="H8" s="16" t="str">
        <f t="shared" si="1"/>
        <v/>
      </c>
      <c r="I8" s="17"/>
      <c r="J8" s="18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10" t="s">
        <v>14</v>
      </c>
      <c r="C9" s="10" t="s">
        <v>72</v>
      </c>
      <c r="D9" s="11" t="s">
        <v>78</v>
      </c>
      <c r="E9" s="13" t="s">
        <v>79</v>
      </c>
      <c r="F9" s="13" t="s">
        <v>75</v>
      </c>
      <c r="G9" s="11">
        <v>2026.0</v>
      </c>
      <c r="H9" s="16" t="str">
        <f t="shared" si="1"/>
        <v/>
      </c>
      <c r="I9" s="17"/>
      <c r="J9" s="18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10" t="s">
        <v>14</v>
      </c>
      <c r="C10" s="10" t="s">
        <v>72</v>
      </c>
      <c r="D10" s="11" t="s">
        <v>80</v>
      </c>
      <c r="E10" s="13" t="s">
        <v>81</v>
      </c>
      <c r="F10" s="13" t="s">
        <v>75</v>
      </c>
      <c r="G10" s="11">
        <v>2026.0</v>
      </c>
      <c r="H10" s="16" t="str">
        <f t="shared" si="1"/>
        <v/>
      </c>
      <c r="I10" s="17"/>
      <c r="J10" s="18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10" t="s">
        <v>14</v>
      </c>
      <c r="C11" s="10" t="s">
        <v>72</v>
      </c>
      <c r="D11" s="11" t="s">
        <v>82</v>
      </c>
      <c r="E11" s="13" t="s">
        <v>83</v>
      </c>
      <c r="F11" s="13" t="s">
        <v>75</v>
      </c>
      <c r="G11" s="11">
        <v>2026.0</v>
      </c>
      <c r="H11" s="16" t="str">
        <f t="shared" si="1"/>
        <v/>
      </c>
      <c r="I11" s="17"/>
      <c r="J11" s="18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</sheetData>
  <mergeCells count="4">
    <mergeCell ref="A1:K1"/>
    <mergeCell ref="A2:K2"/>
    <mergeCell ref="A3:K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20.5"/>
    <col customWidth="1" min="4" max="4" width="25.38"/>
    <col customWidth="1" min="5" max="5" width="18.63"/>
    <col customWidth="1" min="6" max="6" width="22.5"/>
    <col customWidth="1" min="8" max="8" width="3.5"/>
    <col customWidth="1" min="9" max="9" width="7.38"/>
    <col customWidth="1" min="10" max="10" width="3.75"/>
    <col customWidth="1" min="11" max="11" width="21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84</v>
      </c>
      <c r="D7" s="12" t="s">
        <v>85</v>
      </c>
      <c r="E7" s="14" t="s">
        <v>86</v>
      </c>
      <c r="F7" s="14" t="s">
        <v>87</v>
      </c>
      <c r="G7" s="12">
        <v>2026.0</v>
      </c>
      <c r="H7" s="16" t="str">
        <f t="shared" ref="H7:H18" si="1">IF(I7&lt;&gt;"","✓","")</f>
        <v/>
      </c>
      <c r="I7" s="17"/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84</v>
      </c>
      <c r="D8" s="12" t="s">
        <v>88</v>
      </c>
      <c r="E8" s="14" t="s">
        <v>89</v>
      </c>
      <c r="F8" s="14" t="s">
        <v>90</v>
      </c>
      <c r="G8" s="12">
        <v>2026.0</v>
      </c>
      <c r="H8" s="16" t="str">
        <f t="shared" si="1"/>
        <v/>
      </c>
      <c r="I8" s="17"/>
      <c r="J8" s="18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10" t="s">
        <v>14</v>
      </c>
      <c r="C9" s="10" t="s">
        <v>84</v>
      </c>
      <c r="D9" s="12" t="s">
        <v>91</v>
      </c>
      <c r="E9" s="14" t="s">
        <v>92</v>
      </c>
      <c r="F9" s="14" t="s">
        <v>87</v>
      </c>
      <c r="G9" s="12">
        <v>2026.0</v>
      </c>
      <c r="H9" s="16" t="str">
        <f t="shared" si="1"/>
        <v/>
      </c>
      <c r="I9" s="17"/>
      <c r="J9" s="18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10" t="s">
        <v>14</v>
      </c>
      <c r="C10" s="10" t="s">
        <v>84</v>
      </c>
      <c r="D10" s="12" t="s">
        <v>93</v>
      </c>
      <c r="E10" s="14" t="s">
        <v>94</v>
      </c>
      <c r="F10" s="14" t="s">
        <v>90</v>
      </c>
      <c r="G10" s="12">
        <v>2026.0</v>
      </c>
      <c r="H10" s="16" t="str">
        <f t="shared" si="1"/>
        <v/>
      </c>
      <c r="I10" s="17"/>
      <c r="J10" s="18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10" t="s">
        <v>14</v>
      </c>
      <c r="C11" s="10" t="s">
        <v>84</v>
      </c>
      <c r="D11" s="12" t="s">
        <v>95</v>
      </c>
      <c r="E11" s="14" t="s">
        <v>96</v>
      </c>
      <c r="F11" s="14" t="s">
        <v>90</v>
      </c>
      <c r="G11" s="12">
        <v>2026.0</v>
      </c>
      <c r="H11" s="16" t="str">
        <f t="shared" si="1"/>
        <v/>
      </c>
      <c r="I11" s="17"/>
      <c r="J11" s="18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10" t="s">
        <v>14</v>
      </c>
      <c r="C12" s="10" t="s">
        <v>84</v>
      </c>
      <c r="D12" s="12" t="s">
        <v>97</v>
      </c>
      <c r="E12" s="14" t="s">
        <v>98</v>
      </c>
      <c r="F12" s="14" t="s">
        <v>90</v>
      </c>
      <c r="G12" s="12">
        <v>2026.0</v>
      </c>
      <c r="H12" s="16" t="str">
        <f t="shared" si="1"/>
        <v/>
      </c>
      <c r="I12" s="17"/>
      <c r="J12" s="18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v>7.0</v>
      </c>
      <c r="B13" s="10" t="s">
        <v>14</v>
      </c>
      <c r="C13" s="10" t="s">
        <v>84</v>
      </c>
      <c r="D13" s="12" t="s">
        <v>99</v>
      </c>
      <c r="E13" s="14" t="s">
        <v>100</v>
      </c>
      <c r="F13" s="14" t="s">
        <v>87</v>
      </c>
      <c r="G13" s="12">
        <v>2026.0</v>
      </c>
      <c r="H13" s="16" t="str">
        <f t="shared" si="1"/>
        <v/>
      </c>
      <c r="I13" s="17"/>
      <c r="J13" s="18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>
        <v>8.0</v>
      </c>
      <c r="B14" s="10" t="s">
        <v>14</v>
      </c>
      <c r="C14" s="10" t="s">
        <v>84</v>
      </c>
      <c r="D14" s="12" t="s">
        <v>101</v>
      </c>
      <c r="E14" s="14" t="s">
        <v>102</v>
      </c>
      <c r="F14" s="14" t="s">
        <v>90</v>
      </c>
      <c r="G14" s="12">
        <v>2026.0</v>
      </c>
      <c r="H14" s="16" t="str">
        <f t="shared" si="1"/>
        <v/>
      </c>
      <c r="I14" s="17"/>
      <c r="J14" s="18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>
        <v>9.0</v>
      </c>
      <c r="B15" s="10" t="s">
        <v>14</v>
      </c>
      <c r="C15" s="10" t="s">
        <v>84</v>
      </c>
      <c r="D15" s="12" t="s">
        <v>103</v>
      </c>
      <c r="E15" s="14" t="s">
        <v>104</v>
      </c>
      <c r="F15" s="14" t="s">
        <v>90</v>
      </c>
      <c r="G15" s="12">
        <v>2026.0</v>
      </c>
      <c r="H15" s="16" t="str">
        <f t="shared" si="1"/>
        <v/>
      </c>
      <c r="I15" s="17"/>
      <c r="J15" s="18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">
        <v>10.0</v>
      </c>
      <c r="B16" s="10" t="s">
        <v>14</v>
      </c>
      <c r="C16" s="10" t="s">
        <v>84</v>
      </c>
      <c r="D16" s="12" t="s">
        <v>105</v>
      </c>
      <c r="E16" s="14" t="s">
        <v>106</v>
      </c>
      <c r="F16" s="14" t="s">
        <v>90</v>
      </c>
      <c r="G16" s="12">
        <v>2026.0</v>
      </c>
      <c r="H16" s="16" t="str">
        <f t="shared" si="1"/>
        <v/>
      </c>
      <c r="I16" s="17"/>
      <c r="J16" s="18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">
        <v>11.0</v>
      </c>
      <c r="B17" s="10" t="s">
        <v>14</v>
      </c>
      <c r="C17" s="10" t="s">
        <v>84</v>
      </c>
      <c r="D17" s="12" t="s">
        <v>107</v>
      </c>
      <c r="E17" s="14" t="s">
        <v>108</v>
      </c>
      <c r="F17" s="14" t="s">
        <v>109</v>
      </c>
      <c r="G17" s="12">
        <v>2026.0</v>
      </c>
      <c r="H17" s="16" t="str">
        <f t="shared" si="1"/>
        <v/>
      </c>
      <c r="I17" s="17"/>
      <c r="J17" s="18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">
        <v>12.0</v>
      </c>
      <c r="B18" s="10" t="s">
        <v>14</v>
      </c>
      <c r="C18" s="10" t="s">
        <v>84</v>
      </c>
      <c r="D18" s="12" t="s">
        <v>110</v>
      </c>
      <c r="E18" s="14" t="s">
        <v>111</v>
      </c>
      <c r="F18" s="14" t="s">
        <v>90</v>
      </c>
      <c r="G18" s="12">
        <v>2026.0</v>
      </c>
      <c r="H18" s="16" t="str">
        <f t="shared" si="1"/>
        <v/>
      </c>
      <c r="I18" s="17"/>
      <c r="J18" s="18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</sheetData>
  <mergeCells count="4">
    <mergeCell ref="A1:K1"/>
    <mergeCell ref="A2:K2"/>
    <mergeCell ref="A3:K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20.5"/>
    <col customWidth="1" min="4" max="4" width="25.38"/>
    <col customWidth="1" min="5" max="5" width="18.63"/>
    <col customWidth="1" min="6" max="6" width="22.5"/>
    <col customWidth="1" min="8" max="8" width="3.5"/>
    <col customWidth="1" min="9" max="9" width="7.38"/>
    <col customWidth="1" min="10" max="10" width="3.75"/>
    <col customWidth="1" min="11" max="11" width="21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112</v>
      </c>
      <c r="D7" s="11" t="s">
        <v>113</v>
      </c>
      <c r="E7" s="13" t="s">
        <v>114</v>
      </c>
      <c r="F7" s="13" t="s">
        <v>115</v>
      </c>
      <c r="G7" s="11">
        <v>2026.0</v>
      </c>
      <c r="H7" s="16" t="str">
        <f t="shared" ref="H7:H11" si="1">IF(I7&lt;&gt;"","✓","")</f>
        <v/>
      </c>
      <c r="I7" s="17"/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112</v>
      </c>
      <c r="D8" s="11" t="s">
        <v>116</v>
      </c>
      <c r="E8" s="13" t="s">
        <v>117</v>
      </c>
      <c r="F8" s="13" t="s">
        <v>118</v>
      </c>
      <c r="G8" s="11">
        <v>2026.0</v>
      </c>
      <c r="H8" s="16" t="str">
        <f t="shared" si="1"/>
        <v/>
      </c>
      <c r="I8" s="17"/>
      <c r="J8" s="18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10" t="s">
        <v>14</v>
      </c>
      <c r="C9" s="10" t="s">
        <v>112</v>
      </c>
      <c r="D9" s="11" t="s">
        <v>119</v>
      </c>
      <c r="E9" s="13" t="s">
        <v>120</v>
      </c>
      <c r="F9" s="13" t="s">
        <v>121</v>
      </c>
      <c r="G9" s="11">
        <v>2026.0</v>
      </c>
      <c r="H9" s="16" t="str">
        <f t="shared" si="1"/>
        <v/>
      </c>
      <c r="I9" s="17"/>
      <c r="J9" s="18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10" t="s">
        <v>14</v>
      </c>
      <c r="C10" s="10" t="s">
        <v>112</v>
      </c>
      <c r="D10" s="11" t="s">
        <v>122</v>
      </c>
      <c r="E10" s="13" t="s">
        <v>123</v>
      </c>
      <c r="F10" s="13" t="s">
        <v>124</v>
      </c>
      <c r="G10" s="11">
        <v>2026.0</v>
      </c>
      <c r="H10" s="16" t="str">
        <f t="shared" si="1"/>
        <v/>
      </c>
      <c r="I10" s="17"/>
      <c r="J10" s="18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10" t="s">
        <v>14</v>
      </c>
      <c r="C11" s="10" t="s">
        <v>112</v>
      </c>
      <c r="D11" s="11" t="s">
        <v>125</v>
      </c>
      <c r="E11" s="13" t="s">
        <v>126</v>
      </c>
      <c r="F11" s="13" t="s">
        <v>115</v>
      </c>
      <c r="G11" s="11">
        <v>2026.0</v>
      </c>
      <c r="H11" s="16" t="str">
        <f t="shared" si="1"/>
        <v/>
      </c>
      <c r="I11" s="17"/>
      <c r="J11" s="18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</sheetData>
  <mergeCells count="4">
    <mergeCell ref="A1:K1"/>
    <mergeCell ref="A2:K2"/>
    <mergeCell ref="A3:K3"/>
    <mergeCell ref="H6:I6"/>
  </mergeCells>
  <drawing r:id="rId1"/>
</worksheet>
</file>