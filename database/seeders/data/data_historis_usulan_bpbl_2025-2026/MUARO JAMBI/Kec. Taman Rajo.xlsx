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MINGKING LUAR" sheetId="1" r:id="rId5"/>
    <sheet state="visible" name="TELUK JAMBU" sheetId="2" r:id="rId6"/>
    <sheet state="visible" name="KEMINGKING DALAM" sheetId="3" r:id="rId7"/>
  </sheets>
  <definedNames/>
  <calcPr/>
</workbook>
</file>

<file path=xl/sharedStrings.xml><?xml version="1.0" encoding="utf-8"?>
<sst xmlns="http://schemas.openxmlformats.org/spreadsheetml/2006/main" count="276" uniqueCount="119">
  <si>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</si>
  <si>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</si>
  <si>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</si>
  <si>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</si>
  <si>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</si>
  <si>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</si>
  <si>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</si>
  <si>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</si>
  <si>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</si>
  <si>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</si>
  <si>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</si>
  <si>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</si>
  <si>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</si>
  <si>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</si>
  <si>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TAMAN RAJO</t>
  </si>
  <si>
    <t>KEMINGKING LUAR</t>
  </si>
  <si>
    <t>DADIK SAMPURNA. T</t>
  </si>
  <si>
    <t>1505040204740001</t>
  </si>
  <si>
    <t>DESA KEMINGKING LUAR</t>
  </si>
  <si>
    <t>KEMINGKING DALAM</t>
  </si>
  <si>
    <t>AMINAH</t>
  </si>
  <si>
    <t>1505114804580001</t>
  </si>
  <si>
    <t>RT. 10</t>
  </si>
  <si>
    <t>TELUK JAMBU</t>
  </si>
  <si>
    <t>ALMUNJIDI</t>
  </si>
  <si>
    <t>1571051705900001</t>
  </si>
  <si>
    <t>RT 02 DUSUN RANTAU RAJO</t>
  </si>
  <si>
    <t>EKO SAPUTRA</t>
  </si>
  <si>
    <t>1505111309940001</t>
  </si>
  <si>
    <t>AMINAH AB</t>
  </si>
  <si>
    <t>1505040403630002</t>
  </si>
  <si>
    <t>RT. 06</t>
  </si>
  <si>
    <t>ELI RAMDANI</t>
  </si>
  <si>
    <t>1505031507890010</t>
  </si>
  <si>
    <t>MARYATI</t>
  </si>
  <si>
    <t>1505045512720002</t>
  </si>
  <si>
    <t>HILMI</t>
  </si>
  <si>
    <t>1505111507630001</t>
  </si>
  <si>
    <t>MIA</t>
  </si>
  <si>
    <t>1505112710550001</t>
  </si>
  <si>
    <t>RT. 12</t>
  </si>
  <si>
    <t>L. NULHAKIM HARAHAP</t>
  </si>
  <si>
    <t>1505060702840002</t>
  </si>
  <si>
    <t>MASLI</t>
  </si>
  <si>
    <t>1505042407850001</t>
  </si>
  <si>
    <t>HAJASARI</t>
  </si>
  <si>
    <t>1505045503650001</t>
  </si>
  <si>
    <t>RT 04 DUSUN TELUK DALAM</t>
  </si>
  <si>
    <t>MUHAMMAD DEFI</t>
  </si>
  <si>
    <t>1509022310870005</t>
  </si>
  <si>
    <t>MUHAMMAD PADLI</t>
  </si>
  <si>
    <t>1505110412920001</t>
  </si>
  <si>
    <t>NASOBANDI</t>
  </si>
  <si>
    <t>1505110705360001</t>
  </si>
  <si>
    <t>RT. 02</t>
  </si>
  <si>
    <t>MURSALIN</t>
  </si>
  <si>
    <t>1504021208870003</t>
  </si>
  <si>
    <t>HENDRA</t>
  </si>
  <si>
    <t>1505040505870004</t>
  </si>
  <si>
    <t>NURSIAH</t>
  </si>
  <si>
    <t>1505046703650000</t>
  </si>
  <si>
    <t>RAHIMIN</t>
  </si>
  <si>
    <t>1505040402910000</t>
  </si>
  <si>
    <t>RATNA SINAGA</t>
  </si>
  <si>
    <t>1505116509730001</t>
  </si>
  <si>
    <t>ILADIAR</t>
  </si>
  <si>
    <t>1505110606850002</t>
  </si>
  <si>
    <t>RT 01 DUSUN TELUK DALAM</t>
  </si>
  <si>
    <t>RIO</t>
  </si>
  <si>
    <t>1505020404910001</t>
  </si>
  <si>
    <t>ROGAYA</t>
  </si>
  <si>
    <t>1505045507570030</t>
  </si>
  <si>
    <t>IRARA</t>
  </si>
  <si>
    <t>RUSLAN</t>
  </si>
  <si>
    <t>1505110604830001</t>
  </si>
  <si>
    <t>1505110204890001</t>
  </si>
  <si>
    <t>SAFARUDIN</t>
  </si>
  <si>
    <t>1506113011980001</t>
  </si>
  <si>
    <t>SALAMIA</t>
  </si>
  <si>
    <t>1505045007560001</t>
  </si>
  <si>
    <t>IWAN WAHYUDI</t>
  </si>
  <si>
    <t>1505040907880001</t>
  </si>
  <si>
    <t>SARIDA</t>
  </si>
  <si>
    <t>1505115803740001</t>
  </si>
  <si>
    <t>SENO SEPTO AJIMAN</t>
  </si>
  <si>
    <t>1505110910950001</t>
  </si>
  <si>
    <t>JASMARA</t>
  </si>
  <si>
    <t>1505042004780002</t>
  </si>
  <si>
    <t>RT 03 DUSUN RANTAU RAJO</t>
  </si>
  <si>
    <t>SUKRI</t>
  </si>
  <si>
    <t>1506111109930001</t>
  </si>
  <si>
    <t>SUPRIYADI</t>
  </si>
  <si>
    <t>1505941507900016</t>
  </si>
  <si>
    <t>KASMAN</t>
  </si>
  <si>
    <t>1402100701850001</t>
  </si>
  <si>
    <t>ZAINUDDIN</t>
  </si>
  <si>
    <t>1505034808830002</t>
  </si>
  <si>
    <t>M. UYUP</t>
  </si>
  <si>
    <t>1505060605860001</t>
  </si>
  <si>
    <t>M.ANIN</t>
  </si>
  <si>
    <t>1505045205880001</t>
  </si>
  <si>
    <t>M.NUR</t>
  </si>
  <si>
    <t>1505110303520001</t>
  </si>
  <si>
    <t>M.SUBHAN</t>
  </si>
  <si>
    <t>1505040103930001</t>
  </si>
  <si>
    <t>MURHAMA</t>
  </si>
  <si>
    <t>1505045704520001</t>
  </si>
  <si>
    <t>MUSLIHAT</t>
  </si>
  <si>
    <t>1505045507620033</t>
  </si>
  <si>
    <t>SAKIMAN</t>
  </si>
  <si>
    <t>1505112403500001</t>
  </si>
  <si>
    <t>SARIF HIDAYATULLAH</t>
  </si>
  <si>
    <t>1505031610030001</t>
  </si>
  <si>
    <t>SOLIHIN</t>
  </si>
  <si>
    <t>1505041812740001</t>
  </si>
  <si>
    <t>WAGIMAN</t>
  </si>
  <si>
    <t>1505041507500021</t>
  </si>
  <si>
    <t>YANTO</t>
  </si>
  <si>
    <t>1505112601930001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</si>
</sst>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quotePrefix="1" borderId="1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25"/>
    <col customWidth="1" min="4" max="4" width="21.38"/>
    <col customWidth="1" min="5" max="5" width="18.75"/>
    <col customWidth="1" min="6" max="6" width="24.88"/>
    <col customWidth="1" min="8" max="8" width="4.25"/>
    <col customWidth="1" min="9" max="9" width="7.5"/>
    <col customWidth="1" min="10" max="10" width="4.25"/>
    <col customWidth="1" min="11" max="11" width="17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15</v>
      </c>
      <c r="D7" s="11" t="s">
        <v>16</v>
      </c>
      <c r="E7" s="12" t="s">
        <v>17</v>
      </c>
      <c r="F7" s="11" t="s">
        <v>18</v>
      </c>
      <c r="G7" s="11">
        <v>2025.0</v>
      </c>
      <c r="H7" s="15" t="str">
        <f t="shared" ref="H7:H28" si="1">IF(I7&lt;&gt;"","✓","")</f>
        <v>✓</v>
      </c>
      <c r="I7" s="16">
        <v>2025.0</v>
      </c>
      <c r="J7" s="16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15</v>
      </c>
      <c r="D8" s="11" t="s">
        <v>27</v>
      </c>
      <c r="E8" s="12" t="s">
        <v>28</v>
      </c>
      <c r="F8" s="11" t="s">
        <v>18</v>
      </c>
      <c r="G8" s="11">
        <v>2025.0</v>
      </c>
      <c r="H8" s="15" t="str">
        <f t="shared" si="1"/>
        <v/>
      </c>
      <c r="I8" s="19"/>
      <c r="J8" s="19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15</v>
      </c>
      <c r="D9" s="11" t="s">
        <v>32</v>
      </c>
      <c r="E9" s="21" t="s">
        <v>33</v>
      </c>
      <c r="F9" s="11" t="s">
        <v>18</v>
      </c>
      <c r="G9" s="11">
        <v>2025.0</v>
      </c>
      <c r="H9" s="15" t="str">
        <f t="shared" si="1"/>
        <v>✓</v>
      </c>
      <c r="I9" s="16">
        <v>2025.0</v>
      </c>
      <c r="J9" s="16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15</v>
      </c>
      <c r="D10" s="11" t="s">
        <v>36</v>
      </c>
      <c r="E10" s="12" t="s">
        <v>37</v>
      </c>
      <c r="F10" s="11" t="s">
        <v>18</v>
      </c>
      <c r="G10" s="11">
        <v>2025.0</v>
      </c>
      <c r="H10" s="15" t="str">
        <f t="shared" si="1"/>
        <v>✓</v>
      </c>
      <c r="I10" s="16">
        <v>2025.0</v>
      </c>
      <c r="J10" s="16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15</v>
      </c>
      <c r="D11" s="11" t="s">
        <v>41</v>
      </c>
      <c r="E11" s="12" t="s">
        <v>42</v>
      </c>
      <c r="F11" s="11" t="s">
        <v>18</v>
      </c>
      <c r="G11" s="11">
        <v>2025.0</v>
      </c>
      <c r="H11" s="15" t="str">
        <f t="shared" si="1"/>
        <v>✓</v>
      </c>
      <c r="I11" s="16">
        <v>2025.0</v>
      </c>
      <c r="J11" s="16">
        <v>1.0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15</v>
      </c>
      <c r="D12" s="11" t="s">
        <v>43</v>
      </c>
      <c r="E12" s="12" t="s">
        <v>44</v>
      </c>
      <c r="F12" s="11" t="s">
        <v>18</v>
      </c>
      <c r="G12" s="11">
        <v>2025.0</v>
      </c>
      <c r="H12" s="15" t="str">
        <f t="shared" si="1"/>
        <v/>
      </c>
      <c r="I12" s="20"/>
      <c r="J12" s="20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15</v>
      </c>
      <c r="D13" s="11" t="s">
        <v>48</v>
      </c>
      <c r="E13" s="12" t="s">
        <v>49</v>
      </c>
      <c r="F13" s="11" t="s">
        <v>18</v>
      </c>
      <c r="G13" s="11">
        <v>2025.0</v>
      </c>
      <c r="H13" s="15" t="str">
        <f t="shared" si="1"/>
        <v/>
      </c>
      <c r="I13" s="20"/>
      <c r="J13" s="20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15</v>
      </c>
      <c r="D14" s="11" t="s">
        <v>50</v>
      </c>
      <c r="E14" s="12" t="s">
        <v>51</v>
      </c>
      <c r="F14" s="11" t="s">
        <v>18</v>
      </c>
      <c r="G14" s="11">
        <v>2025.0</v>
      </c>
      <c r="H14" s="15" t="str">
        <f t="shared" si="1"/>
        <v/>
      </c>
      <c r="I14" s="20"/>
      <c r="J14" s="20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15</v>
      </c>
      <c r="D15" s="11" t="s">
        <v>55</v>
      </c>
      <c r="E15" s="12" t="s">
        <v>56</v>
      </c>
      <c r="F15" s="11" t="s">
        <v>18</v>
      </c>
      <c r="G15" s="11">
        <v>2025.0</v>
      </c>
      <c r="H15" s="15" t="str">
        <f t="shared" si="1"/>
        <v>✓</v>
      </c>
      <c r="I15" s="16">
        <v>2025.0</v>
      </c>
      <c r="J15" s="16">
        <v>1.0</v>
      </c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15</v>
      </c>
      <c r="D16" s="11" t="s">
        <v>59</v>
      </c>
      <c r="E16" s="21" t="s">
        <v>60</v>
      </c>
      <c r="F16" s="11" t="s">
        <v>18</v>
      </c>
      <c r="G16" s="11">
        <v>2025.0</v>
      </c>
      <c r="H16" s="15" t="str">
        <f t="shared" si="1"/>
        <v>✓</v>
      </c>
      <c r="I16" s="16">
        <v>2025.0</v>
      </c>
      <c r="J16" s="16">
        <v>1.0</v>
      </c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15</v>
      </c>
      <c r="D17" s="11" t="s">
        <v>61</v>
      </c>
      <c r="E17" s="21" t="s">
        <v>62</v>
      </c>
      <c r="F17" s="11" t="s">
        <v>18</v>
      </c>
      <c r="G17" s="11">
        <v>2025.0</v>
      </c>
      <c r="H17" s="15" t="str">
        <f t="shared" si="1"/>
        <v>✓</v>
      </c>
      <c r="I17" s="16">
        <v>2025.0</v>
      </c>
      <c r="J17" s="16">
        <v>1.0</v>
      </c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10" t="s">
        <v>14</v>
      </c>
      <c r="C18" s="10" t="s">
        <v>15</v>
      </c>
      <c r="D18" s="11" t="s">
        <v>63</v>
      </c>
      <c r="E18" s="12" t="s">
        <v>64</v>
      </c>
      <c r="F18" s="11" t="s">
        <v>18</v>
      </c>
      <c r="G18" s="11">
        <v>2025.0</v>
      </c>
      <c r="H18" s="15" t="str">
        <f t="shared" si="1"/>
        <v>✓</v>
      </c>
      <c r="I18" s="16">
        <v>2025.0</v>
      </c>
      <c r="J18" s="16">
        <v>1.0</v>
      </c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10" t="s">
        <v>14</v>
      </c>
      <c r="C19" s="10" t="s">
        <v>15</v>
      </c>
      <c r="D19" s="11" t="s">
        <v>68</v>
      </c>
      <c r="E19" s="12" t="s">
        <v>69</v>
      </c>
      <c r="F19" s="11" t="s">
        <v>18</v>
      </c>
      <c r="G19" s="11">
        <v>2025.0</v>
      </c>
      <c r="H19" s="15" t="str">
        <f t="shared" si="1"/>
        <v>✓</v>
      </c>
      <c r="I19" s="16">
        <v>2025.0</v>
      </c>
      <c r="J19" s="16">
        <v>1.0</v>
      </c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10" t="s">
        <v>14</v>
      </c>
      <c r="C20" s="10" t="s">
        <v>15</v>
      </c>
      <c r="D20" s="11" t="s">
        <v>70</v>
      </c>
      <c r="E20" s="21" t="s">
        <v>71</v>
      </c>
      <c r="F20" s="11" t="s">
        <v>18</v>
      </c>
      <c r="G20" s="11">
        <v>2025.0</v>
      </c>
      <c r="H20" s="15" t="str">
        <f t="shared" si="1"/>
        <v>✓</v>
      </c>
      <c r="I20" s="16">
        <v>2025.0</v>
      </c>
      <c r="J20" s="16">
        <v>1.0</v>
      </c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10" t="s">
        <v>14</v>
      </c>
      <c r="C21" s="10" t="s">
        <v>15</v>
      </c>
      <c r="D21" s="11" t="s">
        <v>73</v>
      </c>
      <c r="E21" s="12" t="s">
        <v>75</v>
      </c>
      <c r="F21" s="11" t="s">
        <v>18</v>
      </c>
      <c r="G21" s="11">
        <v>2025.0</v>
      </c>
      <c r="H21" s="15" t="str">
        <f t="shared" si="1"/>
        <v/>
      </c>
      <c r="I21" s="20"/>
      <c r="J21" s="20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10" t="s">
        <v>14</v>
      </c>
      <c r="C22" s="10" t="s">
        <v>15</v>
      </c>
      <c r="D22" s="11" t="s">
        <v>76</v>
      </c>
      <c r="E22" s="12" t="s">
        <v>77</v>
      </c>
      <c r="F22" s="11" t="s">
        <v>18</v>
      </c>
      <c r="G22" s="11">
        <v>2025.0</v>
      </c>
      <c r="H22" s="15" t="str">
        <f t="shared" si="1"/>
        <v/>
      </c>
      <c r="I22" s="20"/>
      <c r="J22" s="20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10" t="s">
        <v>14</v>
      </c>
      <c r="C23" s="10" t="s">
        <v>15</v>
      </c>
      <c r="D23" s="11" t="s">
        <v>78</v>
      </c>
      <c r="E23" s="12" t="s">
        <v>79</v>
      </c>
      <c r="F23" s="11" t="s">
        <v>18</v>
      </c>
      <c r="G23" s="11">
        <v>2025.0</v>
      </c>
      <c r="H23" s="15" t="str">
        <f t="shared" si="1"/>
        <v>✓</v>
      </c>
      <c r="I23" s="16">
        <v>2025.0</v>
      </c>
      <c r="J23" s="16">
        <v>1.0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>
        <v>18.0</v>
      </c>
      <c r="B24" s="10" t="s">
        <v>14</v>
      </c>
      <c r="C24" s="10" t="s">
        <v>15</v>
      </c>
      <c r="D24" s="11" t="s">
        <v>82</v>
      </c>
      <c r="E24" s="12" t="s">
        <v>83</v>
      </c>
      <c r="F24" s="11" t="s">
        <v>18</v>
      </c>
      <c r="G24" s="11">
        <v>2025.0</v>
      </c>
      <c r="H24" s="15" t="str">
        <f t="shared" si="1"/>
        <v/>
      </c>
      <c r="I24" s="20"/>
      <c r="J24" s="20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>
        <v>19.0</v>
      </c>
      <c r="B25" s="10" t="s">
        <v>14</v>
      </c>
      <c r="C25" s="10" t="s">
        <v>15</v>
      </c>
      <c r="D25" s="11" t="s">
        <v>84</v>
      </c>
      <c r="E25" s="12" t="s">
        <v>85</v>
      </c>
      <c r="F25" s="11" t="s">
        <v>18</v>
      </c>
      <c r="G25" s="11">
        <v>2025.0</v>
      </c>
      <c r="H25" s="15" t="str">
        <f t="shared" si="1"/>
        <v>✓</v>
      </c>
      <c r="I25" s="16">
        <v>2025.0</v>
      </c>
      <c r="J25" s="16">
        <v>1.0</v>
      </c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>
        <v>20.0</v>
      </c>
      <c r="B26" s="10" t="s">
        <v>14</v>
      </c>
      <c r="C26" s="10" t="s">
        <v>15</v>
      </c>
      <c r="D26" s="11" t="s">
        <v>89</v>
      </c>
      <c r="E26" s="12" t="s">
        <v>90</v>
      </c>
      <c r="F26" s="11" t="s">
        <v>18</v>
      </c>
      <c r="G26" s="11">
        <v>2025.0</v>
      </c>
      <c r="H26" s="15" t="str">
        <f t="shared" si="1"/>
        <v/>
      </c>
      <c r="I26" s="20"/>
      <c r="J26" s="20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">
        <v>21.0</v>
      </c>
      <c r="B27" s="10" t="s">
        <v>14</v>
      </c>
      <c r="C27" s="10" t="s">
        <v>15</v>
      </c>
      <c r="D27" s="11" t="s">
        <v>91</v>
      </c>
      <c r="E27" s="12" t="s">
        <v>92</v>
      </c>
      <c r="F27" s="11" t="s">
        <v>18</v>
      </c>
      <c r="G27" s="11">
        <v>2025.0</v>
      </c>
      <c r="H27" s="15" t="str">
        <f t="shared" si="1"/>
        <v>✓</v>
      </c>
      <c r="I27" s="16">
        <v>2025.0</v>
      </c>
      <c r="J27" s="16">
        <v>1.0</v>
      </c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">
        <v>22.0</v>
      </c>
      <c r="B28" s="10" t="s">
        <v>14</v>
      </c>
      <c r="C28" s="10" t="s">
        <v>15</v>
      </c>
      <c r="D28" s="11" t="s">
        <v>95</v>
      </c>
      <c r="E28" s="12" t="s">
        <v>96</v>
      </c>
      <c r="F28" s="11" t="s">
        <v>18</v>
      </c>
      <c r="G28" s="11">
        <v>2025.0</v>
      </c>
      <c r="H28" s="15" t="str">
        <f t="shared" si="1"/>
        <v/>
      </c>
      <c r="I28" s="20"/>
      <c r="J28" s="20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25"/>
    <col customWidth="1" min="4" max="4" width="21.38"/>
    <col customWidth="1" min="5" max="5" width="18.75"/>
    <col customWidth="1" min="6" max="6" width="24.88"/>
    <col customWidth="1" min="8" max="8" width="4.25"/>
    <col customWidth="1" min="9" max="9" width="7.5"/>
    <col customWidth="1" min="10" max="10" width="4.25"/>
    <col customWidth="1" min="11" max="11" width="17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23</v>
      </c>
      <c r="D7" s="11" t="s">
        <v>24</v>
      </c>
      <c r="E7" s="12" t="s">
        <v>25</v>
      </c>
      <c r="F7" s="11" t="s">
        <v>26</v>
      </c>
      <c r="G7" s="11">
        <v>2025.0</v>
      </c>
      <c r="H7" s="15" t="str">
        <f t="shared" ref="H7:H26" si="1">IF(I7&lt;&gt;"","✓","")</f>
        <v/>
      </c>
      <c r="I7" s="18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23</v>
      </c>
      <c r="D8" s="11" t="s">
        <v>45</v>
      </c>
      <c r="E8" s="12" t="s">
        <v>46</v>
      </c>
      <c r="F8" s="11" t="s">
        <v>47</v>
      </c>
      <c r="G8" s="11">
        <v>2025.0</v>
      </c>
      <c r="H8" s="15" t="str">
        <f t="shared" si="1"/>
        <v/>
      </c>
      <c r="I8" s="20"/>
      <c r="J8" s="20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23</v>
      </c>
      <c r="D9" s="11" t="s">
        <v>57</v>
      </c>
      <c r="E9" s="12" t="s">
        <v>58</v>
      </c>
      <c r="F9" s="11" t="s">
        <v>47</v>
      </c>
      <c r="G9" s="11">
        <v>2025.0</v>
      </c>
      <c r="H9" s="15" t="str">
        <f t="shared" si="1"/>
        <v>✓</v>
      </c>
      <c r="I9" s="16">
        <v>2025.0</v>
      </c>
      <c r="J9" s="16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23</v>
      </c>
      <c r="D10" s="11" t="s">
        <v>65</v>
      </c>
      <c r="E10" s="12" t="s">
        <v>66</v>
      </c>
      <c r="F10" s="11" t="s">
        <v>67</v>
      </c>
      <c r="G10" s="11">
        <v>2025.0</v>
      </c>
      <c r="H10" s="15" t="str">
        <f t="shared" si="1"/>
        <v>✓</v>
      </c>
      <c r="I10" s="16">
        <v>2025.0</v>
      </c>
      <c r="J10" s="16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23</v>
      </c>
      <c r="D11" s="11" t="s">
        <v>72</v>
      </c>
      <c r="E11" s="12" t="s">
        <v>74</v>
      </c>
      <c r="F11" s="11" t="s">
        <v>47</v>
      </c>
      <c r="G11" s="11">
        <v>2025.0</v>
      </c>
      <c r="H11" s="15" t="str">
        <f t="shared" si="1"/>
        <v>✓</v>
      </c>
      <c r="I11" s="16">
        <v>2025.0</v>
      </c>
      <c r="J11" s="16">
        <v>1.0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23</v>
      </c>
      <c r="D12" s="11" t="s">
        <v>80</v>
      </c>
      <c r="E12" s="12" t="s">
        <v>81</v>
      </c>
      <c r="F12" s="11" t="s">
        <v>26</v>
      </c>
      <c r="G12" s="11">
        <v>2025.0</v>
      </c>
      <c r="H12" s="15" t="str">
        <f t="shared" si="1"/>
        <v>✓</v>
      </c>
      <c r="I12" s="16">
        <v>2025.0</v>
      </c>
      <c r="J12" s="16">
        <v>1.0</v>
      </c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23</v>
      </c>
      <c r="D13" s="11" t="s">
        <v>86</v>
      </c>
      <c r="E13" s="12" t="s">
        <v>87</v>
      </c>
      <c r="F13" s="11" t="s">
        <v>88</v>
      </c>
      <c r="G13" s="11">
        <v>2025.0</v>
      </c>
      <c r="H13" s="15" t="str">
        <f t="shared" si="1"/>
        <v/>
      </c>
      <c r="I13" s="20"/>
      <c r="J13" s="20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23</v>
      </c>
      <c r="D14" s="11" t="s">
        <v>93</v>
      </c>
      <c r="E14" s="12" t="s">
        <v>94</v>
      </c>
      <c r="F14" s="11" t="s">
        <v>67</v>
      </c>
      <c r="G14" s="11">
        <v>2025.0</v>
      </c>
      <c r="H14" s="15" t="str">
        <f t="shared" si="1"/>
        <v>✓</v>
      </c>
      <c r="I14" s="16">
        <v>2025.0</v>
      </c>
      <c r="J14" s="16">
        <v>1.0</v>
      </c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23</v>
      </c>
      <c r="D15" s="11" t="s">
        <v>97</v>
      </c>
      <c r="E15" s="12" t="s">
        <v>98</v>
      </c>
      <c r="F15" s="11" t="s">
        <v>47</v>
      </c>
      <c r="G15" s="11">
        <v>2025.0</v>
      </c>
      <c r="H15" s="15" t="str">
        <f t="shared" si="1"/>
        <v>✓</v>
      </c>
      <c r="I15" s="16">
        <v>2025.0</v>
      </c>
      <c r="J15" s="16">
        <v>1.0</v>
      </c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23</v>
      </c>
      <c r="D16" s="11" t="s">
        <v>99</v>
      </c>
      <c r="E16" s="12" t="s">
        <v>100</v>
      </c>
      <c r="F16" s="11" t="s">
        <v>67</v>
      </c>
      <c r="G16" s="11">
        <v>2025.0</v>
      </c>
      <c r="H16" s="15" t="str">
        <f t="shared" si="1"/>
        <v>✓</v>
      </c>
      <c r="I16" s="16">
        <v>2025.0</v>
      </c>
      <c r="J16" s="16">
        <v>1.0</v>
      </c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23</v>
      </c>
      <c r="D17" s="11" t="s">
        <v>101</v>
      </c>
      <c r="E17" s="12" t="s">
        <v>102</v>
      </c>
      <c r="F17" s="11" t="s">
        <v>67</v>
      </c>
      <c r="G17" s="11">
        <v>2025.0</v>
      </c>
      <c r="H17" s="15" t="str">
        <f t="shared" si="1"/>
        <v>✓</v>
      </c>
      <c r="I17" s="16">
        <v>2025.0</v>
      </c>
      <c r="J17" s="16">
        <v>1.0</v>
      </c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10" t="s">
        <v>14</v>
      </c>
      <c r="C18" s="10" t="s">
        <v>23</v>
      </c>
      <c r="D18" s="11" t="s">
        <v>103</v>
      </c>
      <c r="E18" s="12" t="s">
        <v>104</v>
      </c>
      <c r="F18" s="11" t="s">
        <v>47</v>
      </c>
      <c r="G18" s="11">
        <v>2025.0</v>
      </c>
      <c r="H18" s="15" t="str">
        <f t="shared" si="1"/>
        <v>✓</v>
      </c>
      <c r="I18" s="16">
        <v>2025.0</v>
      </c>
      <c r="J18" s="16">
        <v>1.0</v>
      </c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10" t="s">
        <v>14</v>
      </c>
      <c r="C19" s="10" t="s">
        <v>23</v>
      </c>
      <c r="D19" s="11" t="s">
        <v>105</v>
      </c>
      <c r="E19" s="12" t="s">
        <v>106</v>
      </c>
      <c r="F19" s="11" t="s">
        <v>88</v>
      </c>
      <c r="G19" s="11">
        <v>2025.0</v>
      </c>
      <c r="H19" s="15" t="str">
        <f t="shared" si="1"/>
        <v>✓</v>
      </c>
      <c r="I19" s="16">
        <v>2025.0</v>
      </c>
      <c r="J19" s="16">
        <v>1.0</v>
      </c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10" t="s">
        <v>14</v>
      </c>
      <c r="C20" s="10" t="s">
        <v>23</v>
      </c>
      <c r="D20" s="11" t="s">
        <v>107</v>
      </c>
      <c r="E20" s="12">
        <v>1.50506500480001E15</v>
      </c>
      <c r="F20" s="11" t="s">
        <v>88</v>
      </c>
      <c r="G20" s="11">
        <v>2025.0</v>
      </c>
      <c r="H20" s="15" t="str">
        <f t="shared" si="1"/>
        <v>✓</v>
      </c>
      <c r="I20" s="16">
        <v>2025.0</v>
      </c>
      <c r="J20" s="16">
        <v>1.0</v>
      </c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10" t="s">
        <v>14</v>
      </c>
      <c r="C21" s="10" t="s">
        <v>23</v>
      </c>
      <c r="D21" s="11" t="s">
        <v>70</v>
      </c>
      <c r="E21" s="12" t="s">
        <v>108</v>
      </c>
      <c r="F21" s="11" t="s">
        <v>67</v>
      </c>
      <c r="G21" s="11">
        <v>2025.0</v>
      </c>
      <c r="H21" s="15" t="str">
        <f t="shared" si="1"/>
        <v>✓</v>
      </c>
      <c r="I21" s="16">
        <v>2025.0</v>
      </c>
      <c r="J21" s="16">
        <v>1.0</v>
      </c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10" t="s">
        <v>14</v>
      </c>
      <c r="C22" s="10" t="s">
        <v>23</v>
      </c>
      <c r="D22" s="11" t="s">
        <v>109</v>
      </c>
      <c r="E22" s="12" t="s">
        <v>110</v>
      </c>
      <c r="F22" s="11" t="s">
        <v>88</v>
      </c>
      <c r="G22" s="11">
        <v>2025.0</v>
      </c>
      <c r="H22" s="15" t="str">
        <f t="shared" si="1"/>
        <v/>
      </c>
      <c r="I22" s="19"/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10" t="s">
        <v>14</v>
      </c>
      <c r="C23" s="10" t="s">
        <v>23</v>
      </c>
      <c r="D23" s="11" t="s">
        <v>111</v>
      </c>
      <c r="E23" s="12" t="s">
        <v>112</v>
      </c>
      <c r="F23" s="11" t="s">
        <v>47</v>
      </c>
      <c r="G23" s="11">
        <v>2025.0</v>
      </c>
      <c r="H23" s="15" t="str">
        <f t="shared" si="1"/>
        <v>✓</v>
      </c>
      <c r="I23" s="16">
        <v>2025.0</v>
      </c>
      <c r="J23" s="16">
        <v>1.0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>
        <v>18.0</v>
      </c>
      <c r="B24" s="10" t="s">
        <v>14</v>
      </c>
      <c r="C24" s="10" t="s">
        <v>23</v>
      </c>
      <c r="D24" s="11" t="s">
        <v>113</v>
      </c>
      <c r="E24" s="12" t="s">
        <v>114</v>
      </c>
      <c r="F24" s="11" t="s">
        <v>47</v>
      </c>
      <c r="G24" s="11">
        <v>2025.0</v>
      </c>
      <c r="H24" s="15" t="str">
        <f t="shared" si="1"/>
        <v>✓</v>
      </c>
      <c r="I24" s="16">
        <v>2025.0</v>
      </c>
      <c r="J24" s="16">
        <v>1.0</v>
      </c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>
        <v>19.0</v>
      </c>
      <c r="B25" s="10" t="s">
        <v>14</v>
      </c>
      <c r="C25" s="10" t="s">
        <v>23</v>
      </c>
      <c r="D25" s="11" t="s">
        <v>115</v>
      </c>
      <c r="E25" s="12" t="s">
        <v>116</v>
      </c>
      <c r="F25" s="11" t="s">
        <v>88</v>
      </c>
      <c r="G25" s="11">
        <v>2025.0</v>
      </c>
      <c r="H25" s="15" t="str">
        <f t="shared" si="1"/>
        <v/>
      </c>
      <c r="I25" s="18"/>
      <c r="J25" s="18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>
        <v>20.0</v>
      </c>
      <c r="B26" s="10" t="s">
        <v>14</v>
      </c>
      <c r="C26" s="10" t="s">
        <v>23</v>
      </c>
      <c r="D26" s="11" t="s">
        <v>117</v>
      </c>
      <c r="E26" s="12" t="s">
        <v>118</v>
      </c>
      <c r="F26" s="11" t="s">
        <v>88</v>
      </c>
      <c r="G26" s="11">
        <v>2025.0</v>
      </c>
      <c r="H26" s="15" t="str">
        <f t="shared" si="1"/>
        <v/>
      </c>
      <c r="I26" s="20"/>
      <c r="J26" s="20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25"/>
    <col customWidth="1" min="4" max="4" width="21.38"/>
    <col customWidth="1" min="5" max="5" width="18.75"/>
    <col customWidth="1" min="6" max="6" width="24.88"/>
    <col customWidth="1" min="8" max="8" width="4.25"/>
    <col customWidth="1" min="9" max="9" width="7.5"/>
    <col customWidth="1" min="10" max="10" width="4.25"/>
    <col customWidth="1" min="11" max="11" width="17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19</v>
      </c>
      <c r="D7" s="13" t="s">
        <v>20</v>
      </c>
      <c r="E7" s="13" t="s">
        <v>21</v>
      </c>
      <c r="F7" s="13" t="s">
        <v>22</v>
      </c>
      <c r="G7" s="14">
        <v>2026.0</v>
      </c>
      <c r="H7" s="15" t="str">
        <f t="shared" ref="H7:H11" si="1">IF(I7&lt;&gt;"","✓","")</f>
        <v/>
      </c>
      <c r="I7" s="18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19</v>
      </c>
      <c r="D8" s="13" t="s">
        <v>29</v>
      </c>
      <c r="E8" s="13" t="s">
        <v>30</v>
      </c>
      <c r="F8" s="13" t="s">
        <v>31</v>
      </c>
      <c r="G8" s="14">
        <v>2026.0</v>
      </c>
      <c r="H8" s="15" t="str">
        <f t="shared" si="1"/>
        <v/>
      </c>
      <c r="I8" s="20"/>
      <c r="J8" s="20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19</v>
      </c>
      <c r="D9" s="13" t="s">
        <v>34</v>
      </c>
      <c r="E9" s="13" t="s">
        <v>35</v>
      </c>
      <c r="F9" s="13" t="s">
        <v>22</v>
      </c>
      <c r="G9" s="14">
        <v>2026.0</v>
      </c>
      <c r="H9" s="15" t="str">
        <f t="shared" si="1"/>
        <v/>
      </c>
      <c r="I9" s="16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19</v>
      </c>
      <c r="D10" s="13" t="s">
        <v>38</v>
      </c>
      <c r="E10" s="13" t="s">
        <v>39</v>
      </c>
      <c r="F10" s="13" t="s">
        <v>40</v>
      </c>
      <c r="G10" s="14">
        <v>2026.0</v>
      </c>
      <c r="H10" s="15" t="str">
        <f t="shared" si="1"/>
        <v/>
      </c>
      <c r="I10" s="16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19</v>
      </c>
      <c r="D11" s="13" t="s">
        <v>52</v>
      </c>
      <c r="E11" s="13" t="s">
        <v>53</v>
      </c>
      <c r="F11" s="13" t="s">
        <v>54</v>
      </c>
      <c r="G11" s="14">
        <v>2026.0</v>
      </c>
      <c r="H11" s="15" t="str">
        <f t="shared" si="1"/>
        <v/>
      </c>
      <c r="I11" s="16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</sheetData>
  <mergeCells count="4">
    <mergeCell ref="A1:K1"/>
    <mergeCell ref="A2:K2"/>
    <mergeCell ref="A3:K3"/>
    <mergeCell ref="H6:I6"/>
  </mergeCells>
  <drawing r:id="rId1"/>
</worksheet>
</file>