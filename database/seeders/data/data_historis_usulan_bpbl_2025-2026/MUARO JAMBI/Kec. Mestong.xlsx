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KA MAJU" sheetId="1" r:id="rId5"/>
    <sheet state="visible" name="BARU" sheetId="2" r:id="rId6"/>
    <sheet state="visible" name="IBRU" sheetId="3" r:id="rId7"/>
    <sheet state="visible" name="PELEMPANG" sheetId="4" r:id="rId8"/>
    <sheet state="visible" name="SEBAPO" sheetId="5" r:id="rId9"/>
  </sheets>
  <definedNames/>
  <calcPr/>
</workbook>
</file>

<file path=xl/sharedStrings.xml><?xml version="1.0" encoding="utf-8"?>
<sst xmlns="http://schemas.openxmlformats.org/spreadsheetml/2006/main" count="315" uniqueCount="140">
  <si>
    <t>REKAPITULASI USULAN DAN REALISASI PENERIMA BPBL PROVINSI JAMBI</t>
  </si>
  <si>
    <t>MELALUI KEGIATAN PLN (Sumber Dana APBN)</t>
  </si>
  <si>
    <t>TAHUN 2025-2026</t>
  </si>
  <si>
    <t>Kab/Kota</t>
  </si>
  <si>
    <t>: Kabupaten Muaro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</si>
  <si>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</si>
  <si>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</si>
  <si>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</si>
  <si>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</si>
  <si>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</si>
  <si>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</si>
  <si>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</si>
  <si>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</si>
  <si>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</si>
  <si>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MESTONG</t>
  </si>
  <si>
    <t>IBRU</t>
  </si>
  <si>
    <t>BARU</t>
  </si>
  <si>
    <t>PELEMPANG</t>
  </si>
  <si>
    <t>MULITA</t>
  </si>
  <si>
    <t>AFIFAHZ</t>
  </si>
  <si>
    <t>ARKIMAN</t>
  </si>
  <si>
    <t>1505056208930001</t>
  </si>
  <si>
    <t>1505054107990002</t>
  </si>
  <si>
    <t>1505050107630004</t>
  </si>
  <si>
    <t>RT. 04</t>
  </si>
  <si>
    <t>ATAS MADI RT. 06</t>
  </si>
  <si>
    <t>RT.02</t>
  </si>
  <si>
    <t>SUKA MAJU</t>
  </si>
  <si>
    <t>AMAT YANI</t>
  </si>
  <si>
    <t>1505012906850002</t>
  </si>
  <si>
    <t>RT 04</t>
  </si>
  <si>
    <t>ABDI FADLI PULUNGAN</t>
  </si>
  <si>
    <t>ASEP</t>
  </si>
  <si>
    <t>1606090401940006</t>
  </si>
  <si>
    <t>RT.03</t>
  </si>
  <si>
    <t>1505050710931001</t>
  </si>
  <si>
    <t>RT. 03</t>
  </si>
  <si>
    <t>ARI YANSAH</t>
  </si>
  <si>
    <t>1505051507977001</t>
  </si>
  <si>
    <t>RT 10</t>
  </si>
  <si>
    <t>EKO GUNTORO</t>
  </si>
  <si>
    <t>1505050404200004</t>
  </si>
  <si>
    <t>DODI</t>
  </si>
  <si>
    <t>1505050505860000</t>
  </si>
  <si>
    <t>RT. 08</t>
  </si>
  <si>
    <t>FAISAL</t>
  </si>
  <si>
    <t>ENDAH SAFITRI</t>
  </si>
  <si>
    <t>1505050606870003</t>
  </si>
  <si>
    <t>ARMAHAT</t>
  </si>
  <si>
    <t>PENGERATAN RT. 12</t>
  </si>
  <si>
    <t>1605121909820001</t>
  </si>
  <si>
    <t>1505010906740003</t>
  </si>
  <si>
    <t>RT.04</t>
  </si>
  <si>
    <t>RT 01</t>
  </si>
  <si>
    <t>NURIMANSAH</t>
  </si>
  <si>
    <t>1505052611845001</t>
  </si>
  <si>
    <t>HADIMAN</t>
  </si>
  <si>
    <t>1505051012760001</t>
  </si>
  <si>
    <t>PUTRA</t>
  </si>
  <si>
    <t>1505052503960004</t>
  </si>
  <si>
    <t>HASANUDIN</t>
  </si>
  <si>
    <t>1505011811850001</t>
  </si>
  <si>
    <t>ATAS MADI RT. 11</t>
  </si>
  <si>
    <t>EDI GUNAWAN</t>
  </si>
  <si>
    <t>1505051404900002</t>
  </si>
  <si>
    <t>ISMAIL HUSEN PULUNGAN</t>
  </si>
  <si>
    <t>1606093101870003</t>
  </si>
  <si>
    <t>ROKI.S</t>
  </si>
  <si>
    <t>1505050510990001</t>
  </si>
  <si>
    <t>M. NUR WARDIANTO</t>
  </si>
  <si>
    <t>1505052703020001</t>
  </si>
  <si>
    <t>SIMPANG PALEMBANG RT. 04</t>
  </si>
  <si>
    <t>MUJIONO</t>
  </si>
  <si>
    <t>SAMIN</t>
  </si>
  <si>
    <t>M. MAHMUDDIN</t>
  </si>
  <si>
    <t>1505051010870002</t>
  </si>
  <si>
    <t>1505052202400001</t>
  </si>
  <si>
    <t>1505010511540003</t>
  </si>
  <si>
    <t>RT 14</t>
  </si>
  <si>
    <t>MELANI</t>
  </si>
  <si>
    <t>1505050503870005</t>
  </si>
  <si>
    <t>TRISNO</t>
  </si>
  <si>
    <t>1505050507800000</t>
  </si>
  <si>
    <t>RT. 02</t>
  </si>
  <si>
    <t>SUGENG SANTOSO</t>
  </si>
  <si>
    <t>1606092209000003</t>
  </si>
  <si>
    <t>RUBINEM</t>
  </si>
  <si>
    <t>1505054110500002</t>
  </si>
  <si>
    <t>RT 02</t>
  </si>
  <si>
    <t>MIDA</t>
  </si>
  <si>
    <t>1505054811640001</t>
  </si>
  <si>
    <t>PENGERATAN RT. 10</t>
  </si>
  <si>
    <t>SUTIMAN</t>
  </si>
  <si>
    <t>1505051103820003</t>
  </si>
  <si>
    <t>SARMI</t>
  </si>
  <si>
    <t>1505055207700001</t>
  </si>
  <si>
    <t>NGADIMAN</t>
  </si>
  <si>
    <t>1606140607580001</t>
  </si>
  <si>
    <t>SIWAN</t>
  </si>
  <si>
    <t>1505011006540001</t>
  </si>
  <si>
    <t>RT 03</t>
  </si>
  <si>
    <t>RANO</t>
  </si>
  <si>
    <t>1505051507940036</t>
  </si>
  <si>
    <t>SUDARSONO</t>
  </si>
  <si>
    <t>1505050706820003</t>
  </si>
  <si>
    <t>RISKA YUNANI</t>
  </si>
  <si>
    <t>1505054206110002</t>
  </si>
  <si>
    <t>SUGENG S</t>
  </si>
  <si>
    <t>PENGERATAN RT. 08</t>
  </si>
  <si>
    <t>1505010311780001</t>
  </si>
  <si>
    <t>SURIPTO</t>
  </si>
  <si>
    <t>1505010505710003</t>
  </si>
  <si>
    <t>ROBUNA</t>
  </si>
  <si>
    <t>1505055507714001</t>
  </si>
  <si>
    <t>PENERATAN RT. 08</t>
  </si>
  <si>
    <t>RUSIA</t>
  </si>
  <si>
    <t>1505055507750057</t>
  </si>
  <si>
    <t>RUSMAN</t>
  </si>
  <si>
    <t>1505050402920002</t>
  </si>
  <si>
    <t>SALIM</t>
  </si>
  <si>
    <t>1505051108800003</t>
  </si>
  <si>
    <t>SANTO</t>
  </si>
  <si>
    <t>1505050103970003</t>
  </si>
  <si>
    <t>SARIMIN</t>
  </si>
  <si>
    <t>1505050708600002</t>
  </si>
  <si>
    <t>SUMIATI</t>
  </si>
  <si>
    <t>1505055507680047</t>
  </si>
  <si>
    <t>SUPIAH</t>
  </si>
  <si>
    <t>1505055507670021</t>
  </si>
  <si>
    <t>SURATIYEM</t>
  </si>
  <si>
    <t>1505055012410001</t>
  </si>
  <si>
    <t>PENGERATAN RT. 09</t>
  </si>
  <si>
    <t>YULIA WENI</t>
  </si>
  <si>
    <t>1505056401010001</t>
  </si>
  <si>
    <t>YUNA</t>
  </si>
  <si>
    <t>1505055507700008</t>
  </si>
  <si>
    <t>SEBAPO</t>
  </si>
  <si>
    <t>ZURAIDAH</t>
  </si>
  <si>
    <t>1505054505690004</t>
  </si>
  <si>
    <t>DN KUSUMA JAYA RT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</si>
</sst>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  <font>
      <sz val="11.0"/>
      <color rgb="FF000000"/>
      <name val="Calibri"/>
    </font>
    <font>
      <sz val="11.0"/>
      <color rgb="FFFF0000"/>
      <name val="Calibri"/>
    </font>
    <font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5" fillId="0" fontId="2" numFmtId="0" xfId="0" applyAlignment="1" applyBorder="1" applyFont="1">
      <alignment vertical="bottom"/>
    </xf>
    <xf borderId="1" fillId="0" fontId="3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1" fillId="0" fontId="6" numFmtId="0" xfId="0" applyAlignment="1" applyBorder="1" applyFont="1">
      <alignment horizontal="right" readingOrder="0" shrinkToFit="0" vertical="bottom" wrapText="0"/>
    </xf>
    <xf borderId="1" fillId="0" fontId="7" numFmtId="0" xfId="0" applyAlignment="1" applyBorder="1" applyFont="1">
      <alignment readingOrder="0" vertical="bottom"/>
    </xf>
    <xf quotePrefix="1" borderId="1" fillId="0" fontId="5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vertical="bottom"/>
    </xf>
    <xf borderId="1" fillId="0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0.38"/>
    <col customWidth="1" min="5" max="5" width="19.63"/>
    <col customWidth="1" min="8" max="8" width="4.38"/>
    <col customWidth="1" min="9" max="9" width="8.38"/>
    <col customWidth="1" min="10" max="10" width="4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10" t="s">
        <v>14</v>
      </c>
      <c r="C7" s="10" t="s">
        <v>27</v>
      </c>
      <c r="D7" s="12" t="s">
        <v>28</v>
      </c>
      <c r="E7" s="13" t="s">
        <v>29</v>
      </c>
      <c r="F7" s="13" t="s">
        <v>30</v>
      </c>
      <c r="G7" s="12">
        <v>2025.0</v>
      </c>
      <c r="H7" s="14" t="str">
        <f t="shared" ref="H7:H17" si="1">IF(I7&lt;&gt;"","✓","")</f>
        <v/>
      </c>
      <c r="I7" s="15"/>
      <c r="J7" s="16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10" t="s">
        <v>14</v>
      </c>
      <c r="C8" s="10" t="s">
        <v>27</v>
      </c>
      <c r="D8" s="12" t="s">
        <v>37</v>
      </c>
      <c r="E8" s="13" t="s">
        <v>38</v>
      </c>
      <c r="F8" s="13" t="s">
        <v>39</v>
      </c>
      <c r="G8" s="12">
        <v>2025.0</v>
      </c>
      <c r="H8" s="14" t="str">
        <f t="shared" si="1"/>
        <v>✓</v>
      </c>
      <c r="I8" s="18">
        <v>2025.0</v>
      </c>
      <c r="J8" s="19">
        <v>1.0</v>
      </c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>
        <v>3.0</v>
      </c>
      <c r="B9" s="10" t="s">
        <v>14</v>
      </c>
      <c r="C9" s="10" t="s">
        <v>27</v>
      </c>
      <c r="D9" s="12" t="s">
        <v>48</v>
      </c>
      <c r="E9" s="13" t="s">
        <v>51</v>
      </c>
      <c r="F9" s="13" t="s">
        <v>53</v>
      </c>
      <c r="G9" s="12">
        <v>2025.0</v>
      </c>
      <c r="H9" s="14" t="str">
        <f t="shared" si="1"/>
        <v>✓</v>
      </c>
      <c r="I9" s="18">
        <v>2025.0</v>
      </c>
      <c r="J9" s="19">
        <v>1.0</v>
      </c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>
        <v>4.0</v>
      </c>
      <c r="B10" s="10" t="s">
        <v>14</v>
      </c>
      <c r="C10" s="10" t="s">
        <v>27</v>
      </c>
      <c r="D10" s="12" t="s">
        <v>63</v>
      </c>
      <c r="E10" s="13" t="s">
        <v>64</v>
      </c>
      <c r="F10" s="13" t="s">
        <v>53</v>
      </c>
      <c r="G10" s="12">
        <v>2025.0</v>
      </c>
      <c r="H10" s="14" t="str">
        <f t="shared" si="1"/>
        <v>✓</v>
      </c>
      <c r="I10" s="18">
        <v>2025.0</v>
      </c>
      <c r="J10" s="19">
        <v>1.0</v>
      </c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>
        <v>5.0</v>
      </c>
      <c r="B11" s="10" t="s">
        <v>14</v>
      </c>
      <c r="C11" s="10" t="s">
        <v>27</v>
      </c>
      <c r="D11" s="12" t="s">
        <v>74</v>
      </c>
      <c r="E11" s="13" t="s">
        <v>77</v>
      </c>
      <c r="F11" s="13" t="s">
        <v>78</v>
      </c>
      <c r="G11" s="12">
        <v>2025.0</v>
      </c>
      <c r="H11" s="14" t="str">
        <f t="shared" si="1"/>
        <v/>
      </c>
      <c r="I11" s="15"/>
      <c r="J11" s="21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">
        <v>6.0</v>
      </c>
      <c r="B12" s="10" t="s">
        <v>14</v>
      </c>
      <c r="C12" s="10" t="s">
        <v>27</v>
      </c>
      <c r="D12" s="12" t="s">
        <v>86</v>
      </c>
      <c r="E12" s="13" t="s">
        <v>87</v>
      </c>
      <c r="F12" s="13" t="s">
        <v>88</v>
      </c>
      <c r="G12" s="12">
        <v>2025.0</v>
      </c>
      <c r="H12" s="14" t="str">
        <f t="shared" si="1"/>
        <v>✓</v>
      </c>
      <c r="I12" s="18">
        <v>2025.0</v>
      </c>
      <c r="J12" s="19">
        <v>1.0</v>
      </c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">
        <v>7.0</v>
      </c>
      <c r="B13" s="10" t="s">
        <v>14</v>
      </c>
      <c r="C13" s="10" t="s">
        <v>27</v>
      </c>
      <c r="D13" s="12" t="s">
        <v>94</v>
      </c>
      <c r="E13" s="13" t="s">
        <v>95</v>
      </c>
      <c r="F13" s="13" t="s">
        <v>78</v>
      </c>
      <c r="G13" s="12">
        <v>2025.0</v>
      </c>
      <c r="H13" s="14" t="str">
        <f t="shared" si="1"/>
        <v/>
      </c>
      <c r="I13" s="15"/>
      <c r="J13" s="19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">
        <v>8.0</v>
      </c>
      <c r="B14" s="10" t="s">
        <v>14</v>
      </c>
      <c r="C14" s="10" t="s">
        <v>27</v>
      </c>
      <c r="D14" s="12" t="s">
        <v>98</v>
      </c>
      <c r="E14" s="13" t="s">
        <v>99</v>
      </c>
      <c r="F14" s="13" t="s">
        <v>100</v>
      </c>
      <c r="G14" s="12">
        <v>2025.0</v>
      </c>
      <c r="H14" s="14" t="str">
        <f t="shared" si="1"/>
        <v>✓</v>
      </c>
      <c r="I14" s="18">
        <v>2025.0</v>
      </c>
      <c r="J14" s="19">
        <v>1.0</v>
      </c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">
        <v>9.0</v>
      </c>
      <c r="B15" s="10" t="s">
        <v>14</v>
      </c>
      <c r="C15" s="10" t="s">
        <v>27</v>
      </c>
      <c r="D15" s="12" t="s">
        <v>103</v>
      </c>
      <c r="E15" s="13" t="s">
        <v>104</v>
      </c>
      <c r="F15" s="13" t="s">
        <v>100</v>
      </c>
      <c r="G15" s="12">
        <v>2025.0</v>
      </c>
      <c r="H15" s="14" t="str">
        <f t="shared" si="1"/>
        <v/>
      </c>
      <c r="I15" s="15"/>
      <c r="J15" s="16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9">
        <v>10.0</v>
      </c>
      <c r="B16" s="10" t="s">
        <v>14</v>
      </c>
      <c r="C16" s="10" t="s">
        <v>27</v>
      </c>
      <c r="D16" s="12" t="s">
        <v>107</v>
      </c>
      <c r="E16" s="13" t="s">
        <v>109</v>
      </c>
      <c r="F16" s="13" t="s">
        <v>100</v>
      </c>
      <c r="G16" s="12">
        <v>2025.0</v>
      </c>
      <c r="H16" s="14" t="str">
        <f t="shared" si="1"/>
        <v/>
      </c>
      <c r="I16" s="15"/>
      <c r="J16" s="16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9">
        <v>11.0</v>
      </c>
      <c r="B17" s="10" t="s">
        <v>14</v>
      </c>
      <c r="C17" s="10" t="s">
        <v>27</v>
      </c>
      <c r="D17" s="12" t="s">
        <v>110</v>
      </c>
      <c r="E17" s="13" t="s">
        <v>111</v>
      </c>
      <c r="F17" s="13" t="s">
        <v>78</v>
      </c>
      <c r="G17" s="12">
        <v>2025.0</v>
      </c>
      <c r="H17" s="14" t="str">
        <f t="shared" si="1"/>
        <v/>
      </c>
      <c r="I17" s="15"/>
      <c r="J17" s="16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0.38"/>
    <col customWidth="1" min="5" max="5" width="19.63"/>
    <col customWidth="1" min="8" max="8" width="4.38"/>
    <col customWidth="1" min="9" max="9" width="8.38"/>
    <col customWidth="1" min="10" max="10" width="4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10" t="s">
        <v>14</v>
      </c>
      <c r="C7" s="10" t="s">
        <v>16</v>
      </c>
      <c r="D7" s="11" t="s">
        <v>19</v>
      </c>
      <c r="E7" s="11" t="s">
        <v>21</v>
      </c>
      <c r="F7" s="11" t="s">
        <v>24</v>
      </c>
      <c r="G7" s="12">
        <v>2026.0</v>
      </c>
      <c r="H7" s="14" t="str">
        <f t="shared" ref="H7:H14" si="1">IF(I7&lt;&gt;"","✓","")</f>
        <v/>
      </c>
      <c r="I7" s="15"/>
      <c r="J7" s="16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10" t="s">
        <v>14</v>
      </c>
      <c r="C8" s="10" t="s">
        <v>16</v>
      </c>
      <c r="D8" s="11" t="s">
        <v>32</v>
      </c>
      <c r="E8" s="11" t="s">
        <v>35</v>
      </c>
      <c r="F8" s="11" t="s">
        <v>36</v>
      </c>
      <c r="G8" s="12">
        <v>2026.0</v>
      </c>
      <c r="H8" s="14" t="str">
        <f t="shared" si="1"/>
        <v/>
      </c>
      <c r="I8" s="18"/>
      <c r="J8" s="19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>
        <v>3.0</v>
      </c>
      <c r="B9" s="10" t="s">
        <v>14</v>
      </c>
      <c r="C9" s="10" t="s">
        <v>16</v>
      </c>
      <c r="D9" s="11" t="s">
        <v>42</v>
      </c>
      <c r="E9" s="20" t="s">
        <v>43</v>
      </c>
      <c r="F9" s="11" t="s">
        <v>44</v>
      </c>
      <c r="G9" s="12">
        <v>2026.0</v>
      </c>
      <c r="H9" s="14" t="str">
        <f t="shared" si="1"/>
        <v/>
      </c>
      <c r="I9" s="18"/>
      <c r="J9" s="19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>
        <v>4.0</v>
      </c>
      <c r="B10" s="10" t="s">
        <v>14</v>
      </c>
      <c r="C10" s="10" t="s">
        <v>16</v>
      </c>
      <c r="D10" s="11" t="s">
        <v>54</v>
      </c>
      <c r="E10" s="11" t="s">
        <v>55</v>
      </c>
      <c r="F10" s="11" t="s">
        <v>44</v>
      </c>
      <c r="G10" s="12">
        <v>2026.0</v>
      </c>
      <c r="H10" s="14" t="str">
        <f t="shared" si="1"/>
        <v/>
      </c>
      <c r="I10" s="18"/>
      <c r="J10" s="19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>
        <v>5.0</v>
      </c>
      <c r="B11" s="10" t="s">
        <v>14</v>
      </c>
      <c r="C11" s="10" t="s">
        <v>16</v>
      </c>
      <c r="D11" s="11" t="s">
        <v>58</v>
      </c>
      <c r="E11" s="11" t="s">
        <v>59</v>
      </c>
      <c r="F11" s="11" t="s">
        <v>36</v>
      </c>
      <c r="G11" s="12">
        <v>2026.0</v>
      </c>
      <c r="H11" s="14" t="str">
        <f t="shared" si="1"/>
        <v/>
      </c>
      <c r="I11" s="15"/>
      <c r="J11" s="21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">
        <v>6.0</v>
      </c>
      <c r="B12" s="10" t="s">
        <v>14</v>
      </c>
      <c r="C12" s="10" t="s">
        <v>16</v>
      </c>
      <c r="D12" s="11" t="s">
        <v>67</v>
      </c>
      <c r="E12" s="11" t="s">
        <v>68</v>
      </c>
      <c r="F12" s="11" t="s">
        <v>36</v>
      </c>
      <c r="G12" s="12">
        <v>2026.0</v>
      </c>
      <c r="H12" s="14" t="str">
        <f t="shared" si="1"/>
        <v/>
      </c>
      <c r="I12" s="18"/>
      <c r="J12" s="19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">
        <v>7.0</v>
      </c>
      <c r="B13" s="10" t="s">
        <v>14</v>
      </c>
      <c r="C13" s="10" t="s">
        <v>16</v>
      </c>
      <c r="D13" s="11" t="s">
        <v>73</v>
      </c>
      <c r="E13" s="11" t="s">
        <v>75</v>
      </c>
      <c r="F13" s="11" t="s">
        <v>24</v>
      </c>
      <c r="G13" s="12">
        <v>2026.0</v>
      </c>
      <c r="H13" s="14" t="str">
        <f t="shared" si="1"/>
        <v/>
      </c>
      <c r="I13" s="15"/>
      <c r="J13" s="19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">
        <v>8.0</v>
      </c>
      <c r="B14" s="10" t="s">
        <v>14</v>
      </c>
      <c r="C14" s="10" t="s">
        <v>16</v>
      </c>
      <c r="D14" s="11" t="s">
        <v>81</v>
      </c>
      <c r="E14" s="20" t="s">
        <v>82</v>
      </c>
      <c r="F14" s="11" t="s">
        <v>83</v>
      </c>
      <c r="G14" s="12">
        <v>2026.0</v>
      </c>
      <c r="H14" s="14" t="str">
        <f t="shared" si="1"/>
        <v/>
      </c>
      <c r="I14" s="18"/>
      <c r="J14" s="19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2.63"/>
    <col customWidth="1" min="5" max="5" width="19.63"/>
    <col customWidth="1" min="8" max="8" width="4.38"/>
    <col customWidth="1" min="9" max="9" width="8.38"/>
    <col customWidth="1" min="10" max="10" width="4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10" t="s">
        <v>14</v>
      </c>
      <c r="C7" s="10" t="s">
        <v>15</v>
      </c>
      <c r="D7" s="11" t="s">
        <v>18</v>
      </c>
      <c r="E7" s="12" t="s">
        <v>22</v>
      </c>
      <c r="F7" s="11" t="s">
        <v>26</v>
      </c>
      <c r="G7" s="12">
        <v>2026.0</v>
      </c>
      <c r="H7" s="14" t="str">
        <f t="shared" ref="H7:H15" si="1">IF(I7&lt;&gt;"","✓","")</f>
        <v/>
      </c>
      <c r="I7" s="15"/>
      <c r="J7" s="16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10" t="s">
        <v>14</v>
      </c>
      <c r="C8" s="10" t="s">
        <v>15</v>
      </c>
      <c r="D8" s="11" t="s">
        <v>31</v>
      </c>
      <c r="E8" s="11" t="s">
        <v>33</v>
      </c>
      <c r="F8" s="11" t="s">
        <v>34</v>
      </c>
      <c r="G8" s="12">
        <v>2026.0</v>
      </c>
      <c r="H8" s="14" t="str">
        <f t="shared" si="1"/>
        <v/>
      </c>
      <c r="I8" s="18"/>
      <c r="J8" s="19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>
        <v>3.0</v>
      </c>
      <c r="B9" s="10" t="s">
        <v>14</v>
      </c>
      <c r="C9" s="10" t="s">
        <v>15</v>
      </c>
      <c r="D9" s="11" t="s">
        <v>40</v>
      </c>
      <c r="E9" s="11" t="s">
        <v>41</v>
      </c>
      <c r="F9" s="11" t="s">
        <v>34</v>
      </c>
      <c r="G9" s="12">
        <v>2026.0</v>
      </c>
      <c r="H9" s="14" t="str">
        <f t="shared" si="1"/>
        <v/>
      </c>
      <c r="I9" s="18"/>
      <c r="J9" s="19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>
        <v>4.0</v>
      </c>
      <c r="B10" s="10" t="s">
        <v>14</v>
      </c>
      <c r="C10" s="10" t="s">
        <v>15</v>
      </c>
      <c r="D10" s="11" t="s">
        <v>46</v>
      </c>
      <c r="E10" s="11" t="s">
        <v>50</v>
      </c>
      <c r="F10" s="11" t="s">
        <v>52</v>
      </c>
      <c r="G10" s="12">
        <v>2026.0</v>
      </c>
      <c r="H10" s="14" t="str">
        <f t="shared" si="1"/>
        <v/>
      </c>
      <c r="I10" s="18"/>
      <c r="J10" s="19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>
        <v>5.0</v>
      </c>
      <c r="B11" s="10" t="s">
        <v>14</v>
      </c>
      <c r="C11" s="10" t="s">
        <v>15</v>
      </c>
      <c r="D11" s="11" t="s">
        <v>56</v>
      </c>
      <c r="E11" s="11" t="s">
        <v>57</v>
      </c>
      <c r="F11" s="11" t="s">
        <v>26</v>
      </c>
      <c r="G11" s="12">
        <v>2026.0</v>
      </c>
      <c r="H11" s="14" t="str">
        <f t="shared" si="1"/>
        <v/>
      </c>
      <c r="I11" s="15"/>
      <c r="J11" s="21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">
        <v>6.0</v>
      </c>
      <c r="B12" s="10" t="s">
        <v>14</v>
      </c>
      <c r="C12" s="10" t="s">
        <v>15</v>
      </c>
      <c r="D12" s="11" t="s">
        <v>65</v>
      </c>
      <c r="E12" s="11" t="s">
        <v>66</v>
      </c>
      <c r="F12" s="11" t="s">
        <v>34</v>
      </c>
      <c r="G12" s="12">
        <v>2026.0</v>
      </c>
      <c r="H12" s="14" t="str">
        <f t="shared" si="1"/>
        <v/>
      </c>
      <c r="I12" s="18"/>
      <c r="J12" s="19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">
        <v>7.0</v>
      </c>
      <c r="B13" s="10" t="s">
        <v>14</v>
      </c>
      <c r="C13" s="10" t="s">
        <v>15</v>
      </c>
      <c r="D13" s="11" t="s">
        <v>72</v>
      </c>
      <c r="E13" s="11" t="s">
        <v>76</v>
      </c>
      <c r="F13" s="11" t="s">
        <v>52</v>
      </c>
      <c r="G13" s="12">
        <v>2026.0</v>
      </c>
      <c r="H13" s="14" t="str">
        <f t="shared" si="1"/>
        <v/>
      </c>
      <c r="I13" s="15"/>
      <c r="J13" s="19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">
        <v>8.0</v>
      </c>
      <c r="B14" s="10" t="s">
        <v>14</v>
      </c>
      <c r="C14" s="10" t="s">
        <v>15</v>
      </c>
      <c r="D14" s="11" t="s">
        <v>84</v>
      </c>
      <c r="E14" s="11" t="s">
        <v>85</v>
      </c>
      <c r="F14" s="11" t="s">
        <v>26</v>
      </c>
      <c r="G14" s="12">
        <v>2026.0</v>
      </c>
      <c r="H14" s="14" t="str">
        <f t="shared" si="1"/>
        <v/>
      </c>
      <c r="I14" s="18"/>
      <c r="J14" s="19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">
        <v>9.0</v>
      </c>
      <c r="B15" s="10" t="s">
        <v>14</v>
      </c>
      <c r="C15" s="10" t="s">
        <v>15</v>
      </c>
      <c r="D15" s="11" t="s">
        <v>92</v>
      </c>
      <c r="E15" s="11" t="s">
        <v>93</v>
      </c>
      <c r="F15" s="11" t="s">
        <v>52</v>
      </c>
      <c r="G15" s="12">
        <v>2026.0</v>
      </c>
      <c r="H15" s="14" t="str">
        <f t="shared" si="1"/>
        <v/>
      </c>
      <c r="I15" s="22"/>
      <c r="J15" s="19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0.38"/>
    <col customWidth="1" min="5" max="5" width="19.63"/>
    <col customWidth="1" min="6" max="6" width="26.38"/>
    <col customWidth="1" min="8" max="8" width="4.38"/>
    <col customWidth="1" min="9" max="9" width="8.38"/>
    <col customWidth="1" min="10" max="10" width="4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10" t="s">
        <v>14</v>
      </c>
      <c r="C7" s="10" t="s">
        <v>17</v>
      </c>
      <c r="D7" s="11" t="s">
        <v>20</v>
      </c>
      <c r="E7" s="11" t="s">
        <v>23</v>
      </c>
      <c r="F7" s="11" t="s">
        <v>25</v>
      </c>
      <c r="G7" s="12">
        <v>2026.0</v>
      </c>
      <c r="H7" s="14" t="str">
        <f t="shared" ref="H7:H26" si="1">IF(I7&lt;&gt;"","✓","")</f>
        <v/>
      </c>
      <c r="I7" s="15"/>
      <c r="J7" s="16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10" t="s">
        <v>14</v>
      </c>
      <c r="C8" s="10" t="s">
        <v>17</v>
      </c>
      <c r="D8" s="11" t="s">
        <v>45</v>
      </c>
      <c r="E8" s="11" t="s">
        <v>47</v>
      </c>
      <c r="F8" s="11" t="s">
        <v>49</v>
      </c>
      <c r="G8" s="12">
        <v>2026.0</v>
      </c>
      <c r="H8" s="14" t="str">
        <f t="shared" si="1"/>
        <v/>
      </c>
      <c r="I8" s="18"/>
      <c r="J8" s="19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>
        <v>3.0</v>
      </c>
      <c r="B9" s="10" t="s">
        <v>14</v>
      </c>
      <c r="C9" s="10" t="s">
        <v>17</v>
      </c>
      <c r="D9" s="11" t="s">
        <v>60</v>
      </c>
      <c r="E9" s="11" t="s">
        <v>61</v>
      </c>
      <c r="F9" s="11" t="s">
        <v>62</v>
      </c>
      <c r="G9" s="12">
        <v>2026.0</v>
      </c>
      <c r="H9" s="14" t="str">
        <f t="shared" si="1"/>
        <v/>
      </c>
      <c r="I9" s="18"/>
      <c r="J9" s="19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>
        <v>4.0</v>
      </c>
      <c r="B10" s="10" t="s">
        <v>14</v>
      </c>
      <c r="C10" s="10" t="s">
        <v>17</v>
      </c>
      <c r="D10" s="11" t="s">
        <v>69</v>
      </c>
      <c r="E10" s="11" t="s">
        <v>70</v>
      </c>
      <c r="F10" s="11" t="s">
        <v>71</v>
      </c>
      <c r="G10" s="12">
        <v>2026.0</v>
      </c>
      <c r="H10" s="14" t="str">
        <f t="shared" si="1"/>
        <v/>
      </c>
      <c r="I10" s="18"/>
      <c r="J10" s="19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>
        <v>5.0</v>
      </c>
      <c r="B11" s="10" t="s">
        <v>14</v>
      </c>
      <c r="C11" s="10" t="s">
        <v>17</v>
      </c>
      <c r="D11" s="11" t="s">
        <v>79</v>
      </c>
      <c r="E11" s="11" t="s">
        <v>80</v>
      </c>
      <c r="F11" s="11" t="s">
        <v>49</v>
      </c>
      <c r="G11" s="12">
        <v>2026.0</v>
      </c>
      <c r="H11" s="14" t="str">
        <f t="shared" si="1"/>
        <v/>
      </c>
      <c r="I11" s="15"/>
      <c r="J11" s="21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">
        <v>6.0</v>
      </c>
      <c r="B12" s="10" t="s">
        <v>14</v>
      </c>
      <c r="C12" s="10" t="s">
        <v>17</v>
      </c>
      <c r="D12" s="11" t="s">
        <v>89</v>
      </c>
      <c r="E12" s="11" t="s">
        <v>90</v>
      </c>
      <c r="F12" s="11" t="s">
        <v>91</v>
      </c>
      <c r="G12" s="12">
        <v>2026.0</v>
      </c>
      <c r="H12" s="14" t="str">
        <f t="shared" si="1"/>
        <v/>
      </c>
      <c r="I12" s="18"/>
      <c r="J12" s="19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">
        <v>7.0</v>
      </c>
      <c r="B13" s="10" t="s">
        <v>14</v>
      </c>
      <c r="C13" s="10" t="s">
        <v>17</v>
      </c>
      <c r="D13" s="11" t="s">
        <v>96</v>
      </c>
      <c r="E13" s="11" t="s">
        <v>97</v>
      </c>
      <c r="F13" s="11" t="s">
        <v>91</v>
      </c>
      <c r="G13" s="12">
        <v>2026.0</v>
      </c>
      <c r="H13" s="14" t="str">
        <f t="shared" si="1"/>
        <v/>
      </c>
      <c r="I13" s="15"/>
      <c r="J13" s="19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">
        <v>8.0</v>
      </c>
      <c r="B14" s="10" t="s">
        <v>14</v>
      </c>
      <c r="C14" s="10" t="s">
        <v>17</v>
      </c>
      <c r="D14" s="11" t="s">
        <v>101</v>
      </c>
      <c r="E14" s="11" t="s">
        <v>102</v>
      </c>
      <c r="F14" s="11" t="s">
        <v>49</v>
      </c>
      <c r="G14" s="12">
        <v>2026.0</v>
      </c>
      <c r="H14" s="14" t="str">
        <f t="shared" si="1"/>
        <v/>
      </c>
      <c r="I14" s="18"/>
      <c r="J14" s="19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">
        <v>9.0</v>
      </c>
      <c r="B15" s="10" t="s">
        <v>14</v>
      </c>
      <c r="C15" s="10" t="s">
        <v>17</v>
      </c>
      <c r="D15" s="11" t="s">
        <v>105</v>
      </c>
      <c r="E15" s="11" t="s">
        <v>106</v>
      </c>
      <c r="F15" s="11" t="s">
        <v>108</v>
      </c>
      <c r="G15" s="12">
        <v>2026.0</v>
      </c>
      <c r="H15" s="14" t="str">
        <f t="shared" si="1"/>
        <v/>
      </c>
      <c r="I15" s="15"/>
      <c r="J15" s="16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9">
        <v>10.0</v>
      </c>
      <c r="B16" s="10" t="s">
        <v>14</v>
      </c>
      <c r="C16" s="10" t="s">
        <v>17</v>
      </c>
      <c r="D16" s="11" t="s">
        <v>112</v>
      </c>
      <c r="E16" s="11" t="s">
        <v>113</v>
      </c>
      <c r="F16" s="11" t="s">
        <v>114</v>
      </c>
      <c r="G16" s="12">
        <v>2026.0</v>
      </c>
      <c r="H16" s="14" t="str">
        <f t="shared" si="1"/>
        <v/>
      </c>
      <c r="I16" s="15"/>
      <c r="J16" s="16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9">
        <v>11.0</v>
      </c>
      <c r="B17" s="10" t="s">
        <v>14</v>
      </c>
      <c r="C17" s="10" t="s">
        <v>17</v>
      </c>
      <c r="D17" s="11" t="s">
        <v>115</v>
      </c>
      <c r="E17" s="11" t="s">
        <v>116</v>
      </c>
      <c r="F17" s="11" t="s">
        <v>91</v>
      </c>
      <c r="G17" s="12">
        <v>2026.0</v>
      </c>
      <c r="H17" s="14" t="str">
        <f t="shared" si="1"/>
        <v/>
      </c>
      <c r="I17" s="15"/>
      <c r="J17" s="16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9">
        <v>12.0</v>
      </c>
      <c r="B18" s="10" t="s">
        <v>14</v>
      </c>
      <c r="C18" s="10" t="s">
        <v>17</v>
      </c>
      <c r="D18" s="11" t="s">
        <v>117</v>
      </c>
      <c r="E18" s="11" t="s">
        <v>118</v>
      </c>
      <c r="F18" s="11" t="s">
        <v>91</v>
      </c>
      <c r="G18" s="12">
        <v>2026.0</v>
      </c>
      <c r="H18" s="14" t="str">
        <f t="shared" si="1"/>
        <v/>
      </c>
      <c r="I18" s="15"/>
      <c r="J18" s="16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9">
        <v>13.0</v>
      </c>
      <c r="B19" s="10" t="s">
        <v>14</v>
      </c>
      <c r="C19" s="10" t="s">
        <v>17</v>
      </c>
      <c r="D19" s="11" t="s">
        <v>119</v>
      </c>
      <c r="E19" s="11" t="s">
        <v>120</v>
      </c>
      <c r="F19" s="11" t="s">
        <v>49</v>
      </c>
      <c r="G19" s="12">
        <v>2026.0</v>
      </c>
      <c r="H19" s="14" t="str">
        <f t="shared" si="1"/>
        <v/>
      </c>
      <c r="I19" s="15"/>
      <c r="J19" s="16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9">
        <v>14.0</v>
      </c>
      <c r="B20" s="10" t="s">
        <v>14</v>
      </c>
      <c r="C20" s="10" t="s">
        <v>17</v>
      </c>
      <c r="D20" s="11" t="s">
        <v>121</v>
      </c>
      <c r="E20" s="11" t="s">
        <v>122</v>
      </c>
      <c r="F20" s="11" t="s">
        <v>49</v>
      </c>
      <c r="G20" s="12">
        <v>2026.0</v>
      </c>
      <c r="H20" s="14" t="str">
        <f t="shared" si="1"/>
        <v/>
      </c>
      <c r="I20" s="15"/>
      <c r="J20" s="16"/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9">
        <v>15.0</v>
      </c>
      <c r="B21" s="10" t="s">
        <v>14</v>
      </c>
      <c r="C21" s="10" t="s">
        <v>17</v>
      </c>
      <c r="D21" s="11" t="s">
        <v>123</v>
      </c>
      <c r="E21" s="11" t="s">
        <v>124</v>
      </c>
      <c r="F21" s="11" t="s">
        <v>49</v>
      </c>
      <c r="G21" s="12">
        <v>2026.0</v>
      </c>
      <c r="H21" s="14" t="str">
        <f t="shared" si="1"/>
        <v/>
      </c>
      <c r="I21" s="15"/>
      <c r="J21" s="16"/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9">
        <v>16.0</v>
      </c>
      <c r="B22" s="10" t="s">
        <v>14</v>
      </c>
      <c r="C22" s="10" t="s">
        <v>17</v>
      </c>
      <c r="D22" s="11" t="s">
        <v>125</v>
      </c>
      <c r="E22" s="11" t="s">
        <v>126</v>
      </c>
      <c r="F22" s="11" t="s">
        <v>71</v>
      </c>
      <c r="G22" s="12">
        <v>2026.0</v>
      </c>
      <c r="H22" s="14" t="str">
        <f t="shared" si="1"/>
        <v/>
      </c>
      <c r="I22" s="15"/>
      <c r="J22" s="16"/>
      <c r="K22" s="1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9">
        <v>17.0</v>
      </c>
      <c r="B23" s="10" t="s">
        <v>14</v>
      </c>
      <c r="C23" s="10" t="s">
        <v>17</v>
      </c>
      <c r="D23" s="11" t="s">
        <v>127</v>
      </c>
      <c r="E23" s="11" t="s">
        <v>128</v>
      </c>
      <c r="F23" s="11" t="s">
        <v>114</v>
      </c>
      <c r="G23" s="12">
        <v>2026.0</v>
      </c>
      <c r="H23" s="14" t="str">
        <f t="shared" si="1"/>
        <v/>
      </c>
      <c r="I23" s="15"/>
      <c r="J23" s="16"/>
      <c r="K23" s="1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9">
        <v>18.0</v>
      </c>
      <c r="B24" s="10" t="s">
        <v>14</v>
      </c>
      <c r="C24" s="10" t="s">
        <v>17</v>
      </c>
      <c r="D24" s="11" t="s">
        <v>129</v>
      </c>
      <c r="E24" s="11" t="s">
        <v>130</v>
      </c>
      <c r="F24" s="11" t="s">
        <v>131</v>
      </c>
      <c r="G24" s="12">
        <v>2026.0</v>
      </c>
      <c r="H24" s="14" t="str">
        <f t="shared" si="1"/>
        <v/>
      </c>
      <c r="I24" s="15"/>
      <c r="J24" s="16"/>
      <c r="K24" s="1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9">
        <v>19.0</v>
      </c>
      <c r="B25" s="10" t="s">
        <v>14</v>
      </c>
      <c r="C25" s="10" t="s">
        <v>17</v>
      </c>
      <c r="D25" s="11" t="s">
        <v>132</v>
      </c>
      <c r="E25" s="11" t="s">
        <v>133</v>
      </c>
      <c r="F25" s="11" t="s">
        <v>114</v>
      </c>
      <c r="G25" s="12">
        <v>2026.0</v>
      </c>
      <c r="H25" s="14" t="str">
        <f t="shared" si="1"/>
        <v/>
      </c>
      <c r="I25" s="15"/>
      <c r="J25" s="16"/>
      <c r="K25" s="1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9">
        <v>20.0</v>
      </c>
      <c r="B26" s="10" t="s">
        <v>14</v>
      </c>
      <c r="C26" s="10" t="s">
        <v>17</v>
      </c>
      <c r="D26" s="11" t="s">
        <v>134</v>
      </c>
      <c r="E26" s="11" t="s">
        <v>135</v>
      </c>
      <c r="F26" s="11" t="s">
        <v>91</v>
      </c>
      <c r="G26" s="12">
        <v>2026.0</v>
      </c>
      <c r="H26" s="14" t="str">
        <f t="shared" si="1"/>
        <v/>
      </c>
      <c r="I26" s="15"/>
      <c r="J26" s="16"/>
      <c r="K26" s="1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0.38"/>
    <col customWidth="1" min="5" max="5" width="19.63"/>
    <col customWidth="1" min="6" max="6" width="22.38"/>
    <col customWidth="1" min="8" max="8" width="4.38"/>
    <col customWidth="1" min="9" max="9" width="8.38"/>
    <col customWidth="1" min="10" max="10" width="4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10" t="s">
        <v>14</v>
      </c>
      <c r="C7" s="10" t="s">
        <v>136</v>
      </c>
      <c r="D7" s="12" t="s">
        <v>137</v>
      </c>
      <c r="E7" s="12" t="s">
        <v>138</v>
      </c>
      <c r="F7" s="12" t="s">
        <v>139</v>
      </c>
      <c r="G7" s="12"/>
      <c r="H7" s="14" t="str">
        <f>IF(I7&lt;&gt;"","✓","")</f>
        <v>✓</v>
      </c>
      <c r="I7" s="22">
        <v>2025.0</v>
      </c>
      <c r="J7" s="16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</sheetData>
  <mergeCells count="4">
    <mergeCell ref="A1:K1"/>
    <mergeCell ref="A2:K2"/>
    <mergeCell ref="A3:K3"/>
    <mergeCell ref="H6:I6"/>
  </mergeCells>
  <drawing r:id="rId1"/>
</worksheet>
</file>