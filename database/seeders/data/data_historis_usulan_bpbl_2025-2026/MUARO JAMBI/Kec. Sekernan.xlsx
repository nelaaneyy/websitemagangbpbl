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AK PUTAT" sheetId="1" r:id="rId5"/>
    <sheet state="visible" name="KERANGAN" sheetId="2" r:id="rId6"/>
    <sheet state="visible" name="KERANGGAN" sheetId="3" r:id="rId7"/>
    <sheet state="visible" name="PULAU KAYU ARO" sheetId="4" r:id="rId8"/>
    <sheet state="visible" name="SEKERNAN" sheetId="5" r:id="rId9"/>
  </sheets>
  <definedNames/>
  <calcPr/>
</workbook>
</file>

<file path=xl/sharedStrings.xml><?xml version="1.0" encoding="utf-8"?>
<sst xmlns="http://schemas.openxmlformats.org/spreadsheetml/2006/main" count="303" uniqueCount="90">
  <si>
    <t>REKAPITULASI USULAN DAN REALISASI PENERIMA BPBL PROVINSI JAMBI</t>
  </si>
  <si>
    <t>MELALUI KEGIATAN PLN (Sumber Dana APBN)</t>
  </si>
  <si>
    <t>TAHUN 2025-2026</t>
  </si>
  <si>
    <t>Kab/Kota</t>
  </si>
  <si>
    <t>: Kabupaten 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</si>
  <si>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</si>
  <si>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</si>
  <si>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</si>
  <si>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</si>
  <si>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</si>
  <si>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</si>
  <si>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</si>
  <si>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</si>
  <si>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</si>
  <si>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SEKERNAN</t>
  </si>
  <si>
    <t>KERANGGAN</t>
  </si>
  <si>
    <t>SUAK PUTAT</t>
  </si>
  <si>
    <t>ANGGA WAHYUDI</t>
  </si>
  <si>
    <t>KERANGAN</t>
  </si>
  <si>
    <t>ADI NOVERIYANTO</t>
  </si>
  <si>
    <t>1571010502980021</t>
  </si>
  <si>
    <t>ANGGA</t>
  </si>
  <si>
    <t>1505051711920002</t>
  </si>
  <si>
    <t>PULAU KAYU ARO</t>
  </si>
  <si>
    <t>RT. 01</t>
  </si>
  <si>
    <t>RT 06</t>
  </si>
  <si>
    <t>ARDI</t>
  </si>
  <si>
    <t>1505021508920001</t>
  </si>
  <si>
    <t>ALI</t>
  </si>
  <si>
    <t>1504050501900004</t>
  </si>
  <si>
    <t>RT 07</t>
  </si>
  <si>
    <t>ANOM SUROTO</t>
  </si>
  <si>
    <t>1505022006940002</t>
  </si>
  <si>
    <t>DEDI HERMANTO</t>
  </si>
  <si>
    <t>RT. 04</t>
  </si>
  <si>
    <t>IGET RIANTI</t>
  </si>
  <si>
    <t>DENDI</t>
  </si>
  <si>
    <t>ISWANTO</t>
  </si>
  <si>
    <t>1505024606000005</t>
  </si>
  <si>
    <t>1505020508880001</t>
  </si>
  <si>
    <t>1505021008950003</t>
  </si>
  <si>
    <t>RT 04</t>
  </si>
  <si>
    <t>HAZMI</t>
  </si>
  <si>
    <t>1505021508890002</t>
  </si>
  <si>
    <t>RT. 06</t>
  </si>
  <si>
    <t>KIDI</t>
  </si>
  <si>
    <t>1505020101840020</t>
  </si>
  <si>
    <t>RT 08</t>
  </si>
  <si>
    <t>HERIYANTO</t>
  </si>
  <si>
    <t>1505022703870002</t>
  </si>
  <si>
    <t>RT. 05</t>
  </si>
  <si>
    <t>MARSONI</t>
  </si>
  <si>
    <t>1505022407900002</t>
  </si>
  <si>
    <t>RT 01</t>
  </si>
  <si>
    <t>HERZA</t>
  </si>
  <si>
    <t>1505021906030002</t>
  </si>
  <si>
    <t>MUHAMMAD YENI</t>
  </si>
  <si>
    <t>1505021401880002</t>
  </si>
  <si>
    <t>IRFAN JOURDAN</t>
  </si>
  <si>
    <t>1505022607860001</t>
  </si>
  <si>
    <t>SRIPAH</t>
  </si>
  <si>
    <t>1505026710790001</t>
  </si>
  <si>
    <t>RT 03</t>
  </si>
  <si>
    <t>NAHILI</t>
  </si>
  <si>
    <t>1505020501730003</t>
  </si>
  <si>
    <t>RANDI</t>
  </si>
  <si>
    <t>1505022801940001</t>
  </si>
  <si>
    <t>SUPIAH</t>
  </si>
  <si>
    <t>1505026603540001</t>
  </si>
  <si>
    <t>RUSDI</t>
  </si>
  <si>
    <t>1505022606720001</t>
  </si>
  <si>
    <t>YADI</t>
  </si>
  <si>
    <t>1505021805700004</t>
  </si>
  <si>
    <t>RT 02</t>
  </si>
  <si>
    <t>SENING</t>
  </si>
  <si>
    <t>1505025502630001</t>
  </si>
  <si>
    <t>SIENDRI</t>
  </si>
  <si>
    <t>1505024110841101</t>
  </si>
  <si>
    <t>SUHARDI</t>
  </si>
  <si>
    <t>1505022001860002</t>
  </si>
  <si>
    <t>RT. 02</t>
  </si>
  <si>
    <t>TASYA</t>
  </si>
  <si>
    <t>1505021712970001</t>
  </si>
  <si>
    <t>YANTI</t>
  </si>
  <si>
    <t>1505025507830020</t>
  </si>
  <si>
    <t>ZOHIR</t>
  </si>
  <si>
    <t>1505021511530001</t>
  </si>
  <si>
    <t>SALMA</t>
  </si>
  <si>
    <t>1505025812730001</t>
  </si>
  <si>
    <t>SEKERNAN RT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</si>
</sst>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  <font>
      <sz val="11.0"/>
      <color rgb="FF000000"/>
      <name val="Calibri"/>
    </font>
    <font>
      <sz val="11.0"/>
      <color rgb="FFFF0000"/>
      <name val="Calibri"/>
    </font>
    <font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6" numFmtId="0" xfId="0" applyAlignment="1" applyBorder="1" applyFont="1">
      <alignment horizontal="right" readingOrder="0" shrinkToFit="0" vertical="bottom" wrapText="0"/>
    </xf>
    <xf borderId="6" fillId="0" fontId="6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readingOrder="0" vertical="bottom"/>
    </xf>
    <xf quotePrefix="1" borderId="1" fillId="0" fontId="3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vertical="bottom"/>
    </xf>
    <xf quotePrefix="1" borderId="1" fillId="3" fontId="5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23.25"/>
    <col customWidth="1" min="5" max="5" width="20.38"/>
    <col customWidth="1" min="8" max="8" width="3.88"/>
    <col customWidth="1" min="9" max="9" width="5.13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16</v>
      </c>
      <c r="D7" s="11" t="s">
        <v>19</v>
      </c>
      <c r="E7" s="13" t="s">
        <v>22</v>
      </c>
      <c r="F7" s="13" t="s">
        <v>25</v>
      </c>
      <c r="G7" s="11">
        <v>2025.0</v>
      </c>
      <c r="H7" s="16" t="str">
        <f t="shared" ref="H7:H16" si="1">IF(I7&lt;&gt;"","✓","")</f>
        <v/>
      </c>
      <c r="I7" s="17"/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16</v>
      </c>
      <c r="D8" s="11" t="s">
        <v>28</v>
      </c>
      <c r="E8" s="13" t="s">
        <v>29</v>
      </c>
      <c r="F8" s="13" t="s">
        <v>30</v>
      </c>
      <c r="G8" s="11">
        <v>2025.0</v>
      </c>
      <c r="H8" s="16" t="str">
        <f t="shared" si="1"/>
        <v/>
      </c>
      <c r="I8" s="17"/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16</v>
      </c>
      <c r="D9" s="11" t="s">
        <v>31</v>
      </c>
      <c r="E9" s="13" t="s">
        <v>32</v>
      </c>
      <c r="F9" s="13" t="s">
        <v>25</v>
      </c>
      <c r="G9" s="11">
        <v>2025.0</v>
      </c>
      <c r="H9" s="16" t="str">
        <f t="shared" si="1"/>
        <v>✓</v>
      </c>
      <c r="I9" s="21">
        <v>2025.0</v>
      </c>
      <c r="J9" s="22">
        <v>1.0</v>
      </c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16</v>
      </c>
      <c r="D10" s="11" t="s">
        <v>37</v>
      </c>
      <c r="E10" s="13" t="s">
        <v>39</v>
      </c>
      <c r="F10" s="13" t="s">
        <v>41</v>
      </c>
      <c r="G10" s="11">
        <v>2025.0</v>
      </c>
      <c r="H10" s="16" t="str">
        <f t="shared" si="1"/>
        <v>✓</v>
      </c>
      <c r="I10" s="21">
        <v>2025.0</v>
      </c>
      <c r="J10" s="22">
        <v>1.0</v>
      </c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16</v>
      </c>
      <c r="D11" s="11" t="s">
        <v>45</v>
      </c>
      <c r="E11" s="23" t="s">
        <v>46</v>
      </c>
      <c r="F11" s="13" t="s">
        <v>47</v>
      </c>
      <c r="G11" s="11">
        <v>2025.0</v>
      </c>
      <c r="H11" s="16" t="str">
        <f t="shared" si="1"/>
        <v>✓</v>
      </c>
      <c r="I11" s="21">
        <v>2025.0</v>
      </c>
      <c r="J11" s="22">
        <v>1.0</v>
      </c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16</v>
      </c>
      <c r="D12" s="11" t="s">
        <v>51</v>
      </c>
      <c r="E12" s="13" t="s">
        <v>52</v>
      </c>
      <c r="F12" s="13" t="s">
        <v>53</v>
      </c>
      <c r="G12" s="11">
        <v>2025.0</v>
      </c>
      <c r="H12" s="16" t="str">
        <f t="shared" si="1"/>
        <v>✓</v>
      </c>
      <c r="I12" s="21">
        <v>2025.0</v>
      </c>
      <c r="J12" s="22">
        <v>1.0</v>
      </c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16</v>
      </c>
      <c r="D13" s="11" t="s">
        <v>56</v>
      </c>
      <c r="E13" s="13" t="s">
        <v>57</v>
      </c>
      <c r="F13" s="13" t="s">
        <v>41</v>
      </c>
      <c r="G13" s="11">
        <v>2025.0</v>
      </c>
      <c r="H13" s="16" t="str">
        <f t="shared" si="1"/>
        <v/>
      </c>
      <c r="I13" s="17"/>
      <c r="J13" s="24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16</v>
      </c>
      <c r="D14" s="11" t="s">
        <v>60</v>
      </c>
      <c r="E14" s="13" t="s">
        <v>61</v>
      </c>
      <c r="F14" s="13" t="s">
        <v>62</v>
      </c>
      <c r="G14" s="11">
        <v>2025.0</v>
      </c>
      <c r="H14" s="16" t="str">
        <f t="shared" si="1"/>
        <v>✓</v>
      </c>
      <c r="I14" s="21">
        <v>2025.0</v>
      </c>
      <c r="J14" s="22">
        <v>1.0</v>
      </c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10" t="s">
        <v>14</v>
      </c>
      <c r="C15" s="10" t="s">
        <v>16</v>
      </c>
      <c r="D15" s="11" t="s">
        <v>67</v>
      </c>
      <c r="E15" s="13" t="s">
        <v>68</v>
      </c>
      <c r="F15" s="13" t="s">
        <v>47</v>
      </c>
      <c r="G15" s="11">
        <v>2025.0</v>
      </c>
      <c r="H15" s="16" t="str">
        <f t="shared" si="1"/>
        <v>✓</v>
      </c>
      <c r="I15" s="21">
        <v>2025.0</v>
      </c>
      <c r="J15" s="22">
        <v>1.0</v>
      </c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10" t="s">
        <v>14</v>
      </c>
      <c r="C16" s="10" t="s">
        <v>16</v>
      </c>
      <c r="D16" s="11" t="s">
        <v>71</v>
      </c>
      <c r="E16" s="13" t="s">
        <v>72</v>
      </c>
      <c r="F16" s="13" t="s">
        <v>73</v>
      </c>
      <c r="G16" s="11">
        <v>2025.0</v>
      </c>
      <c r="H16" s="16" t="str">
        <f t="shared" si="1"/>
        <v>✓</v>
      </c>
      <c r="I16" s="21">
        <v>2025.0</v>
      </c>
      <c r="J16" s="22">
        <v>1.0</v>
      </c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23.25"/>
    <col customWidth="1" min="5" max="5" width="20.38"/>
    <col customWidth="1" min="8" max="8" width="3.88"/>
    <col customWidth="1" min="9" max="9" width="5.13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18</v>
      </c>
      <c r="D7" s="12" t="s">
        <v>21</v>
      </c>
      <c r="E7" s="12" t="s">
        <v>20</v>
      </c>
      <c r="F7" s="12" t="s">
        <v>24</v>
      </c>
      <c r="G7" s="14">
        <v>2026.0</v>
      </c>
      <c r="H7" s="16" t="str">
        <f t="shared" ref="H7:H23" si="1">IF(I7&lt;&gt;"","✓","")</f>
        <v/>
      </c>
      <c r="I7" s="17"/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18</v>
      </c>
      <c r="D8" s="12" t="s">
        <v>26</v>
      </c>
      <c r="E8" s="12" t="s">
        <v>27</v>
      </c>
      <c r="F8" s="12" t="s">
        <v>24</v>
      </c>
      <c r="G8" s="14">
        <v>2026.0</v>
      </c>
      <c r="H8" s="16" t="str">
        <f t="shared" si="1"/>
        <v/>
      </c>
      <c r="I8" s="17"/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18</v>
      </c>
      <c r="D9" s="12" t="s">
        <v>33</v>
      </c>
      <c r="E9" s="12">
        <v>1.50502060886001E14</v>
      </c>
      <c r="F9" s="12" t="s">
        <v>34</v>
      </c>
      <c r="G9" s="14">
        <v>2026.0</v>
      </c>
      <c r="H9" s="16" t="str">
        <f t="shared" si="1"/>
        <v/>
      </c>
      <c r="I9" s="21"/>
      <c r="J9" s="22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18</v>
      </c>
      <c r="D10" s="12" t="s">
        <v>36</v>
      </c>
      <c r="E10" s="12" t="s">
        <v>40</v>
      </c>
      <c r="F10" s="12" t="s">
        <v>24</v>
      </c>
      <c r="G10" s="14">
        <v>2026.0</v>
      </c>
      <c r="H10" s="16" t="str">
        <f t="shared" si="1"/>
        <v/>
      </c>
      <c r="I10" s="21"/>
      <c r="J10" s="22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18</v>
      </c>
      <c r="D11" s="12" t="s">
        <v>42</v>
      </c>
      <c r="E11" s="12" t="s">
        <v>43</v>
      </c>
      <c r="F11" s="12" t="s">
        <v>44</v>
      </c>
      <c r="G11" s="14">
        <v>2026.0</v>
      </c>
      <c r="H11" s="16" t="str">
        <f t="shared" si="1"/>
        <v/>
      </c>
      <c r="I11" s="21"/>
      <c r="J11" s="22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18</v>
      </c>
      <c r="D12" s="12" t="s">
        <v>48</v>
      </c>
      <c r="E12" s="12" t="s">
        <v>49</v>
      </c>
      <c r="F12" s="12" t="s">
        <v>50</v>
      </c>
      <c r="G12" s="14">
        <v>2026.0</v>
      </c>
      <c r="H12" s="16" t="str">
        <f t="shared" si="1"/>
        <v/>
      </c>
      <c r="I12" s="21"/>
      <c r="J12" s="22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18</v>
      </c>
      <c r="D13" s="12" t="s">
        <v>54</v>
      </c>
      <c r="E13" s="12" t="s">
        <v>55</v>
      </c>
      <c r="F13" s="12" t="s">
        <v>44</v>
      </c>
      <c r="G13" s="14">
        <v>2026.0</v>
      </c>
      <c r="H13" s="16" t="str">
        <f t="shared" si="1"/>
        <v/>
      </c>
      <c r="I13" s="17"/>
      <c r="J13" s="24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18</v>
      </c>
      <c r="D14" s="12" t="s">
        <v>58</v>
      </c>
      <c r="E14" s="12" t="s">
        <v>59</v>
      </c>
      <c r="F14" s="12" t="s">
        <v>44</v>
      </c>
      <c r="G14" s="14">
        <v>2026.0</v>
      </c>
      <c r="H14" s="16" t="str">
        <f t="shared" si="1"/>
        <v/>
      </c>
      <c r="I14" s="21"/>
      <c r="J14" s="22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10" t="s">
        <v>14</v>
      </c>
      <c r="C15" s="10" t="s">
        <v>18</v>
      </c>
      <c r="D15" s="12" t="s">
        <v>63</v>
      </c>
      <c r="E15" s="12" t="s">
        <v>64</v>
      </c>
      <c r="F15" s="12" t="s">
        <v>44</v>
      </c>
      <c r="G15" s="14">
        <v>2026.0</v>
      </c>
      <c r="H15" s="16" t="str">
        <f t="shared" si="1"/>
        <v/>
      </c>
      <c r="I15" s="21"/>
      <c r="J15" s="22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10" t="s">
        <v>14</v>
      </c>
      <c r="C16" s="10" t="s">
        <v>18</v>
      </c>
      <c r="D16" s="12" t="s">
        <v>65</v>
      </c>
      <c r="E16" s="12" t="s">
        <v>66</v>
      </c>
      <c r="F16" s="12" t="s">
        <v>44</v>
      </c>
      <c r="G16" s="14">
        <v>2026.0</v>
      </c>
      <c r="H16" s="16" t="str">
        <f t="shared" si="1"/>
        <v/>
      </c>
      <c r="I16" s="21"/>
      <c r="J16" s="22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10" t="s">
        <v>14</v>
      </c>
      <c r="C17" s="10" t="s">
        <v>18</v>
      </c>
      <c r="D17" s="12" t="s">
        <v>69</v>
      </c>
      <c r="E17" s="12" t="s">
        <v>70</v>
      </c>
      <c r="F17" s="12" t="s">
        <v>50</v>
      </c>
      <c r="G17" s="14">
        <v>2026.0</v>
      </c>
      <c r="H17" s="16" t="str">
        <f t="shared" si="1"/>
        <v/>
      </c>
      <c r="I17" s="21"/>
      <c r="J17" s="22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v>12.0</v>
      </c>
      <c r="B18" s="10" t="s">
        <v>14</v>
      </c>
      <c r="C18" s="10" t="s">
        <v>18</v>
      </c>
      <c r="D18" s="12" t="s">
        <v>74</v>
      </c>
      <c r="E18" s="12" t="s">
        <v>75</v>
      </c>
      <c r="F18" s="12" t="s">
        <v>24</v>
      </c>
      <c r="G18" s="14">
        <v>2026.0</v>
      </c>
      <c r="H18" s="16" t="str">
        <f t="shared" si="1"/>
        <v/>
      </c>
      <c r="I18" s="21"/>
      <c r="J18" s="22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>
        <v>13.0</v>
      </c>
      <c r="B19" s="10" t="s">
        <v>14</v>
      </c>
      <c r="C19" s="10" t="s">
        <v>18</v>
      </c>
      <c r="D19" s="12" t="s">
        <v>76</v>
      </c>
      <c r="E19" s="12" t="s">
        <v>77</v>
      </c>
      <c r="F19" s="12" t="s">
        <v>24</v>
      </c>
      <c r="G19" s="14">
        <v>2026.0</v>
      </c>
      <c r="H19" s="16" t="str">
        <f t="shared" si="1"/>
        <v/>
      </c>
      <c r="I19" s="21"/>
      <c r="J19" s="22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>
        <v>14.0</v>
      </c>
      <c r="B20" s="10" t="s">
        <v>14</v>
      </c>
      <c r="C20" s="10" t="s">
        <v>18</v>
      </c>
      <c r="D20" s="12" t="s">
        <v>78</v>
      </c>
      <c r="E20" s="12" t="s">
        <v>79</v>
      </c>
      <c r="F20" s="12" t="s">
        <v>80</v>
      </c>
      <c r="G20" s="14">
        <v>2026.0</v>
      </c>
      <c r="H20" s="16" t="str">
        <f t="shared" si="1"/>
        <v/>
      </c>
      <c r="I20" s="21"/>
      <c r="J20" s="22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>
        <v>15.0</v>
      </c>
      <c r="B21" s="10" t="s">
        <v>14</v>
      </c>
      <c r="C21" s="10" t="s">
        <v>18</v>
      </c>
      <c r="D21" s="12" t="s">
        <v>81</v>
      </c>
      <c r="E21" s="12" t="s">
        <v>82</v>
      </c>
      <c r="F21" s="12" t="s">
        <v>34</v>
      </c>
      <c r="G21" s="14">
        <v>2026.0</v>
      </c>
      <c r="H21" s="16" t="str">
        <f t="shared" si="1"/>
        <v/>
      </c>
      <c r="I21" s="21"/>
      <c r="J21" s="22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>
        <v>16.0</v>
      </c>
      <c r="B22" s="10" t="s">
        <v>14</v>
      </c>
      <c r="C22" s="10" t="s">
        <v>18</v>
      </c>
      <c r="D22" s="12" t="s">
        <v>83</v>
      </c>
      <c r="E22" s="25" t="s">
        <v>84</v>
      </c>
      <c r="F22" s="12" t="s">
        <v>80</v>
      </c>
      <c r="G22" s="14">
        <v>2026.0</v>
      </c>
      <c r="H22" s="16" t="str">
        <f t="shared" si="1"/>
        <v/>
      </c>
      <c r="I22" s="21"/>
      <c r="J22" s="22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>
        <v>17.0</v>
      </c>
      <c r="B23" s="10" t="s">
        <v>14</v>
      </c>
      <c r="C23" s="10" t="s">
        <v>18</v>
      </c>
      <c r="D23" s="12" t="s">
        <v>85</v>
      </c>
      <c r="E23" s="12" t="s">
        <v>86</v>
      </c>
      <c r="F23" s="12" t="s">
        <v>24</v>
      </c>
      <c r="G23" s="14">
        <v>2026.0</v>
      </c>
      <c r="H23" s="16" t="str">
        <f t="shared" si="1"/>
        <v/>
      </c>
      <c r="I23" s="21"/>
      <c r="J23" s="22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23.25"/>
    <col customWidth="1" min="5" max="5" width="20.38"/>
    <col customWidth="1" min="8" max="8" width="3.88"/>
    <col customWidth="1" min="9" max="9" width="5.13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15</v>
      </c>
      <c r="D7" s="11" t="s">
        <v>17</v>
      </c>
      <c r="E7" s="11" t="s">
        <v>20</v>
      </c>
      <c r="F7" s="11" t="s">
        <v>15</v>
      </c>
      <c r="G7" s="15"/>
      <c r="H7" s="16" t="str">
        <f t="shared" ref="H7:H8" si="1">IF(I7&lt;&gt;"","✓","")</f>
        <v>✓</v>
      </c>
      <c r="I7" s="20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15</v>
      </c>
      <c r="D8" s="11" t="s">
        <v>35</v>
      </c>
      <c r="E8" s="11" t="s">
        <v>38</v>
      </c>
      <c r="F8" s="11" t="s">
        <v>15</v>
      </c>
      <c r="G8" s="15"/>
      <c r="H8" s="16" t="str">
        <f t="shared" si="1"/>
        <v>✓</v>
      </c>
      <c r="I8" s="21">
        <v>2025.0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23.25"/>
    <col customWidth="1" min="5" max="5" width="20.38"/>
    <col customWidth="1" min="8" max="8" width="3.88"/>
    <col customWidth="1" min="9" max="9" width="5.13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23</v>
      </c>
      <c r="D7" s="12" t="s">
        <v>21</v>
      </c>
      <c r="E7" s="12" t="s">
        <v>20</v>
      </c>
      <c r="F7" s="12" t="s">
        <v>24</v>
      </c>
      <c r="G7" s="14">
        <v>2026.0</v>
      </c>
      <c r="H7" s="16" t="str">
        <f t="shared" ref="H7:H23" si="1">IF(I7&lt;&gt;"","✓","")</f>
        <v/>
      </c>
      <c r="I7" s="17"/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23</v>
      </c>
      <c r="D8" s="12" t="s">
        <v>26</v>
      </c>
      <c r="E8" s="12" t="s">
        <v>27</v>
      </c>
      <c r="F8" s="12" t="s">
        <v>24</v>
      </c>
      <c r="G8" s="14">
        <v>2026.0</v>
      </c>
      <c r="H8" s="16" t="str">
        <f t="shared" si="1"/>
        <v/>
      </c>
      <c r="I8" s="17"/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23</v>
      </c>
      <c r="D9" s="12" t="s">
        <v>33</v>
      </c>
      <c r="E9" s="12">
        <v>1.50502060886001E14</v>
      </c>
      <c r="F9" s="12" t="s">
        <v>34</v>
      </c>
      <c r="G9" s="14">
        <v>2026.0</v>
      </c>
      <c r="H9" s="16" t="str">
        <f t="shared" si="1"/>
        <v/>
      </c>
      <c r="I9" s="21"/>
      <c r="J9" s="22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23</v>
      </c>
      <c r="D10" s="12" t="s">
        <v>36</v>
      </c>
      <c r="E10" s="12" t="s">
        <v>40</v>
      </c>
      <c r="F10" s="12" t="s">
        <v>24</v>
      </c>
      <c r="G10" s="14">
        <v>2026.0</v>
      </c>
      <c r="H10" s="16" t="str">
        <f t="shared" si="1"/>
        <v/>
      </c>
      <c r="I10" s="21"/>
      <c r="J10" s="22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23</v>
      </c>
      <c r="D11" s="12" t="s">
        <v>42</v>
      </c>
      <c r="E11" s="12" t="s">
        <v>43</v>
      </c>
      <c r="F11" s="12" t="s">
        <v>44</v>
      </c>
      <c r="G11" s="14">
        <v>2026.0</v>
      </c>
      <c r="H11" s="16" t="str">
        <f t="shared" si="1"/>
        <v/>
      </c>
      <c r="I11" s="21"/>
      <c r="J11" s="22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23</v>
      </c>
      <c r="D12" s="12" t="s">
        <v>48</v>
      </c>
      <c r="E12" s="12" t="s">
        <v>49</v>
      </c>
      <c r="F12" s="12" t="s">
        <v>50</v>
      </c>
      <c r="G12" s="14">
        <v>2026.0</v>
      </c>
      <c r="H12" s="16" t="str">
        <f t="shared" si="1"/>
        <v/>
      </c>
      <c r="I12" s="21"/>
      <c r="J12" s="22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23</v>
      </c>
      <c r="D13" s="12" t="s">
        <v>54</v>
      </c>
      <c r="E13" s="12" t="s">
        <v>55</v>
      </c>
      <c r="F13" s="12" t="s">
        <v>44</v>
      </c>
      <c r="G13" s="14">
        <v>2026.0</v>
      </c>
      <c r="H13" s="16" t="str">
        <f t="shared" si="1"/>
        <v/>
      </c>
      <c r="I13" s="17"/>
      <c r="J13" s="24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23</v>
      </c>
      <c r="D14" s="12" t="s">
        <v>58</v>
      </c>
      <c r="E14" s="12" t="s">
        <v>59</v>
      </c>
      <c r="F14" s="12" t="s">
        <v>44</v>
      </c>
      <c r="G14" s="14">
        <v>2026.0</v>
      </c>
      <c r="H14" s="16" t="str">
        <f t="shared" si="1"/>
        <v/>
      </c>
      <c r="I14" s="21"/>
      <c r="J14" s="22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10" t="s">
        <v>14</v>
      </c>
      <c r="C15" s="10" t="s">
        <v>23</v>
      </c>
      <c r="D15" s="12" t="s">
        <v>63</v>
      </c>
      <c r="E15" s="12" t="s">
        <v>64</v>
      </c>
      <c r="F15" s="12" t="s">
        <v>44</v>
      </c>
      <c r="G15" s="14">
        <v>2026.0</v>
      </c>
      <c r="H15" s="16" t="str">
        <f t="shared" si="1"/>
        <v/>
      </c>
      <c r="I15" s="21"/>
      <c r="J15" s="22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10" t="s">
        <v>14</v>
      </c>
      <c r="C16" s="10" t="s">
        <v>23</v>
      </c>
      <c r="D16" s="12" t="s">
        <v>65</v>
      </c>
      <c r="E16" s="12" t="s">
        <v>66</v>
      </c>
      <c r="F16" s="12" t="s">
        <v>44</v>
      </c>
      <c r="G16" s="14">
        <v>2026.0</v>
      </c>
      <c r="H16" s="16" t="str">
        <f t="shared" si="1"/>
        <v/>
      </c>
      <c r="I16" s="21"/>
      <c r="J16" s="22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10" t="s">
        <v>14</v>
      </c>
      <c r="C17" s="10" t="s">
        <v>23</v>
      </c>
      <c r="D17" s="12" t="s">
        <v>69</v>
      </c>
      <c r="E17" s="12" t="s">
        <v>70</v>
      </c>
      <c r="F17" s="12" t="s">
        <v>50</v>
      </c>
      <c r="G17" s="14">
        <v>2026.0</v>
      </c>
      <c r="H17" s="16" t="str">
        <f t="shared" si="1"/>
        <v/>
      </c>
      <c r="I17" s="21"/>
      <c r="J17" s="22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v>12.0</v>
      </c>
      <c r="B18" s="10" t="s">
        <v>14</v>
      </c>
      <c r="C18" s="10" t="s">
        <v>23</v>
      </c>
      <c r="D18" s="12" t="s">
        <v>74</v>
      </c>
      <c r="E18" s="12" t="s">
        <v>75</v>
      </c>
      <c r="F18" s="12" t="s">
        <v>24</v>
      </c>
      <c r="G18" s="14">
        <v>2026.0</v>
      </c>
      <c r="H18" s="16" t="str">
        <f t="shared" si="1"/>
        <v/>
      </c>
      <c r="I18" s="21"/>
      <c r="J18" s="22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>
        <v>13.0</v>
      </c>
      <c r="B19" s="10" t="s">
        <v>14</v>
      </c>
      <c r="C19" s="10" t="s">
        <v>23</v>
      </c>
      <c r="D19" s="12" t="s">
        <v>76</v>
      </c>
      <c r="E19" s="12" t="s">
        <v>77</v>
      </c>
      <c r="F19" s="12" t="s">
        <v>24</v>
      </c>
      <c r="G19" s="14">
        <v>2026.0</v>
      </c>
      <c r="H19" s="16" t="str">
        <f t="shared" si="1"/>
        <v/>
      </c>
      <c r="I19" s="21"/>
      <c r="J19" s="22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>
        <v>14.0</v>
      </c>
      <c r="B20" s="10" t="s">
        <v>14</v>
      </c>
      <c r="C20" s="10" t="s">
        <v>23</v>
      </c>
      <c r="D20" s="12" t="s">
        <v>78</v>
      </c>
      <c r="E20" s="12" t="s">
        <v>79</v>
      </c>
      <c r="F20" s="12" t="s">
        <v>80</v>
      </c>
      <c r="G20" s="14">
        <v>2026.0</v>
      </c>
      <c r="H20" s="16" t="str">
        <f t="shared" si="1"/>
        <v/>
      </c>
      <c r="I20" s="21"/>
      <c r="J20" s="22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>
        <v>15.0</v>
      </c>
      <c r="B21" s="10" t="s">
        <v>14</v>
      </c>
      <c r="C21" s="10" t="s">
        <v>23</v>
      </c>
      <c r="D21" s="12" t="s">
        <v>81</v>
      </c>
      <c r="E21" s="12" t="s">
        <v>82</v>
      </c>
      <c r="F21" s="12" t="s">
        <v>34</v>
      </c>
      <c r="G21" s="14">
        <v>2026.0</v>
      </c>
      <c r="H21" s="16" t="str">
        <f t="shared" si="1"/>
        <v/>
      </c>
      <c r="I21" s="21"/>
      <c r="J21" s="22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>
        <v>16.0</v>
      </c>
      <c r="B22" s="10" t="s">
        <v>14</v>
      </c>
      <c r="C22" s="10" t="s">
        <v>23</v>
      </c>
      <c r="D22" s="12" t="s">
        <v>83</v>
      </c>
      <c r="E22" s="25" t="s">
        <v>84</v>
      </c>
      <c r="F22" s="12" t="s">
        <v>80</v>
      </c>
      <c r="G22" s="14">
        <v>2026.0</v>
      </c>
      <c r="H22" s="16" t="str">
        <f t="shared" si="1"/>
        <v/>
      </c>
      <c r="I22" s="21"/>
      <c r="J22" s="22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>
        <v>17.0</v>
      </c>
      <c r="B23" s="10" t="s">
        <v>14</v>
      </c>
      <c r="C23" s="10" t="s">
        <v>23</v>
      </c>
      <c r="D23" s="12" t="s">
        <v>85</v>
      </c>
      <c r="E23" s="12" t="s">
        <v>86</v>
      </c>
      <c r="F23" s="12" t="s">
        <v>24</v>
      </c>
      <c r="G23" s="14">
        <v>2026.0</v>
      </c>
      <c r="H23" s="16" t="str">
        <f t="shared" si="1"/>
        <v/>
      </c>
      <c r="I23" s="21"/>
      <c r="J23" s="22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23.25"/>
    <col customWidth="1" min="5" max="6" width="20.38"/>
    <col customWidth="1" min="8" max="8" width="3.88"/>
    <col customWidth="1" min="9" max="9" width="5.13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14</v>
      </c>
      <c r="D7" s="11" t="s">
        <v>87</v>
      </c>
      <c r="E7" s="11" t="s">
        <v>88</v>
      </c>
      <c r="F7" s="11" t="s">
        <v>89</v>
      </c>
      <c r="G7" s="15"/>
      <c r="H7" s="16" t="str">
        <f>IF(I7&lt;&gt;"","✓","")</f>
        <v>✓</v>
      </c>
      <c r="I7" s="20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mergeCells count="4">
    <mergeCell ref="A1:K1"/>
    <mergeCell ref="A2:K2"/>
    <mergeCell ref="A3:K3"/>
    <mergeCell ref="H6:I6"/>
  </mergeCells>
  <drawing r:id="rId1"/>
</worksheet>
</file>