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TAU KEMBANG" sheetId="1" r:id="rId5"/>
    <sheet state="visible" name="GIRI PURNO" sheetId="2" r:id="rId6"/>
    <sheet state="visible" name="PULUNG REJO" sheetId="3" r:id="rId7"/>
  </sheets>
  <definedNames/>
  <calcPr/>
</workbook>
</file>

<file path=xl/sharedStrings.xml><?xml version="1.0" encoding="utf-8"?>
<sst xmlns="http://schemas.openxmlformats.org/spreadsheetml/2006/main" count="276" uniqueCount="131">
  <si>
    <t>REKAPITULASI USULAN DAN REALISASI PENERIMAAN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</si>
  <si>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</si>
  <si>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</si>
  <si>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</si>
  <si>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</si>
  <si>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</si>
  <si>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</si>
  <si>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</si>
  <si>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</si>
  <si>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</si>
  <si>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</si>
  <si>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</si>
  <si>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</si>
  <si>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RIMBO ILIR</t>
  </si>
  <si>
    <t>RANTAU KEMBANG</t>
  </si>
  <si>
    <t>GIRI PURNO</t>
  </si>
  <si>
    <t>ARI PURDIONO</t>
  </si>
  <si>
    <t>AULIA MUSTAQIM</t>
  </si>
  <si>
    <t>1509042601890003</t>
  </si>
  <si>
    <t>‘1509080804980002</t>
  </si>
  <si>
    <t>PULUNG REJO</t>
  </si>
  <si>
    <t>DESY FITRIANI</t>
  </si>
  <si>
    <t>1371016112910001</t>
  </si>
  <si>
    <t>BUDI HARTO</t>
  </si>
  <si>
    <t>1509081001830002</t>
  </si>
  <si>
    <t>DONI MEDIA SEPRIKA</t>
  </si>
  <si>
    <t>‘1509012809910001</t>
  </si>
  <si>
    <t>FIRDAUS</t>
  </si>
  <si>
    <t>1509031006800006</t>
  </si>
  <si>
    <t>DIAN</t>
  </si>
  <si>
    <t>EDI KURNIAWAN</t>
  </si>
  <si>
    <t>‘1509081506960003</t>
  </si>
  <si>
    <t>HERI SISWANTO</t>
  </si>
  <si>
    <t>1509041808870007</t>
  </si>
  <si>
    <t>HARIYANTI</t>
  </si>
  <si>
    <t>1509085107850009</t>
  </si>
  <si>
    <t>JUNAIDI</t>
  </si>
  <si>
    <t>‘1509080305820001</t>
  </si>
  <si>
    <t>JANTORO</t>
  </si>
  <si>
    <t>1509081707640001</t>
  </si>
  <si>
    <t>HENGKI FRETDI HARIANJA</t>
  </si>
  <si>
    <t>1509082905850001</t>
  </si>
  <si>
    <t>JUMINAH</t>
  </si>
  <si>
    <t>1509084203420001</t>
  </si>
  <si>
    <t>LAMA</t>
  </si>
  <si>
    <t>‘1509080810490001</t>
  </si>
  <si>
    <t>KRISNA NURMAN HAKIM</t>
  </si>
  <si>
    <t>1509081309980001</t>
  </si>
  <si>
    <t>ILHAM BUDIONO</t>
  </si>
  <si>
    <t>1509081611980002</t>
  </si>
  <si>
    <t>MARIKEM</t>
  </si>
  <si>
    <t>‘1509085210660002</t>
  </si>
  <si>
    <t>JOKO SUSANTO</t>
  </si>
  <si>
    <t>ROSSI VALENTINO</t>
  </si>
  <si>
    <t>‘1509084205020001</t>
  </si>
  <si>
    <t>MOHYI</t>
  </si>
  <si>
    <t>1509081210830002</t>
  </si>
  <si>
    <t>KATENI</t>
  </si>
  <si>
    <t>1509084501700001</t>
  </si>
  <si>
    <t>SUBANDI</t>
  </si>
  <si>
    <t>‘1509082604870003</t>
  </si>
  <si>
    <t>NGADIMAN</t>
  </si>
  <si>
    <t>1509080507790001</t>
  </si>
  <si>
    <t>SUGIYARTO</t>
  </si>
  <si>
    <t>‘1509081512830002</t>
  </si>
  <si>
    <t>SAFI'I</t>
  </si>
  <si>
    <t>1509081612760001</t>
  </si>
  <si>
    <t>KURNIAWAN ARDI SAPUTRA</t>
  </si>
  <si>
    <t>SUPRIYATI</t>
  </si>
  <si>
    <t>1509085402640001</t>
  </si>
  <si>
    <t>SUMARNO</t>
  </si>
  <si>
    <t>‘1509082204720001</t>
  </si>
  <si>
    <t>MARYADI</t>
  </si>
  <si>
    <t>SUWOTO</t>
  </si>
  <si>
    <t>1509072412660001</t>
  </si>
  <si>
    <t>YANTO YAIIN</t>
  </si>
  <si>
    <t>‘1509041908890002</t>
  </si>
  <si>
    <t>MARYANTO</t>
  </si>
  <si>
    <t>1509083003770001</t>
  </si>
  <si>
    <t>SYAIPUL MAHYAN</t>
  </si>
  <si>
    <t>1509083110800002</t>
  </si>
  <si>
    <t>TUGIMAN</t>
  </si>
  <si>
    <t>1509082109690002</t>
  </si>
  <si>
    <t>MIYADI</t>
  </si>
  <si>
    <t>1509082708760001</t>
  </si>
  <si>
    <t>TURMAN</t>
  </si>
  <si>
    <t>1509080305930003</t>
  </si>
  <si>
    <t>MUJIANTO</t>
  </si>
  <si>
    <t>1509080503750002</t>
  </si>
  <si>
    <t>ULIANA</t>
  </si>
  <si>
    <t>1205036812700002</t>
  </si>
  <si>
    <t>RIDHO DEKA</t>
  </si>
  <si>
    <t>1509080301970001</t>
  </si>
  <si>
    <t>WAGIMAN</t>
  </si>
  <si>
    <t>1509081501580002</t>
  </si>
  <si>
    <t>YULI ALDINA</t>
  </si>
  <si>
    <t>1509044107920104</t>
  </si>
  <si>
    <t>RIYADI</t>
  </si>
  <si>
    <t>YURNAWATI</t>
  </si>
  <si>
    <t>1509085203640001</t>
  </si>
  <si>
    <t>ROY SAPUTRA</t>
  </si>
  <si>
    <t>1509080404890004</t>
  </si>
  <si>
    <t>SAKIMIN</t>
  </si>
  <si>
    <t>1509081102520002</t>
  </si>
  <si>
    <t>SAMIJO</t>
  </si>
  <si>
    <t>1506080206600001</t>
  </si>
  <si>
    <t>SRI RAHAYU</t>
  </si>
  <si>
    <t>1509084610960002</t>
  </si>
  <si>
    <t>SRIYANTO</t>
  </si>
  <si>
    <t>1509081506870002</t>
  </si>
  <si>
    <t>SUGIYATNO</t>
  </si>
  <si>
    <t>1509081106830001</t>
  </si>
  <si>
    <t>SUKINAH</t>
  </si>
  <si>
    <t>1509086105550001</t>
  </si>
  <si>
    <t>SUNARDI</t>
  </si>
  <si>
    <t>1509081709620002</t>
  </si>
  <si>
    <t>SURATMAN</t>
  </si>
  <si>
    <t>TRI RAHMAN</t>
  </si>
  <si>
    <t>1509080502840003</t>
  </si>
  <si>
    <t>TRIYANTO</t>
  </si>
  <si>
    <t>1509082307770003</t>
  </si>
  <si>
    <t>UNTUNG</t>
  </si>
  <si>
    <t>1509080903810001</t>
  </si>
  <si>
    <t>WAHYUDI</t>
  </si>
  <si>
    <t>1509080402770001</t>
  </si>
  <si>
    <t>WARSIDI</t>
  </si>
  <si>
    <t>1509081412730001</t>
  </si>
  <si>
    <t>WARSIMIN</t>
  </si>
  <si>
    <t>1509082712800002</t>
  </si>
  <si>
    <t>YUDIYANTO</t>
  </si>
  <si>
    <t>1509081603870001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</si>
</sst>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4.25"/>
    <col customWidth="1" min="5" max="5" width="21.38"/>
    <col customWidth="1" min="7" max="7" width="6.38"/>
    <col customWidth="1" min="8" max="8" width="9.38"/>
    <col customWidth="1" min="9" max="9" width="5.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6" t="s">
        <v>11</v>
      </c>
      <c r="H6" s="7"/>
      <c r="I6" s="8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13</v>
      </c>
      <c r="C7" s="11" t="s">
        <v>14</v>
      </c>
      <c r="D7" s="12" t="s">
        <v>16</v>
      </c>
      <c r="E7" s="11" t="s">
        <v>18</v>
      </c>
      <c r="F7" s="12">
        <v>2025.0</v>
      </c>
      <c r="G7" s="14" t="str">
        <f t="shared" ref="G7:G25" si="1">IF(H7&lt;&gt;"","✓","")</f>
        <v>✓</v>
      </c>
      <c r="H7" s="15">
        <v>2025.0</v>
      </c>
      <c r="I7" s="11">
        <v>1.0</v>
      </c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1" t="s">
        <v>13</v>
      </c>
      <c r="C8" s="11" t="s">
        <v>14</v>
      </c>
      <c r="D8" s="12" t="s">
        <v>23</v>
      </c>
      <c r="E8" s="11" t="s">
        <v>24</v>
      </c>
      <c r="F8" s="12">
        <v>2025.0</v>
      </c>
      <c r="G8" s="14" t="str">
        <f t="shared" si="1"/>
        <v>✓</v>
      </c>
      <c r="H8" s="15">
        <v>2025.0</v>
      </c>
      <c r="I8" s="11">
        <v>1.0</v>
      </c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1" t="s">
        <v>13</v>
      </c>
      <c r="C9" s="11" t="s">
        <v>14</v>
      </c>
      <c r="D9" s="12" t="s">
        <v>27</v>
      </c>
      <c r="E9" s="11" t="s">
        <v>28</v>
      </c>
      <c r="F9" s="12">
        <v>2025.0</v>
      </c>
      <c r="G9" s="14" t="str">
        <f t="shared" si="1"/>
        <v>✓</v>
      </c>
      <c r="H9" s="15">
        <v>2025.0</v>
      </c>
      <c r="I9" s="11">
        <v>1.0</v>
      </c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1" t="s">
        <v>13</v>
      </c>
      <c r="C10" s="11" t="s">
        <v>14</v>
      </c>
      <c r="D10" s="12" t="s">
        <v>32</v>
      </c>
      <c r="E10" s="11" t="s">
        <v>33</v>
      </c>
      <c r="F10" s="12">
        <v>2025.0</v>
      </c>
      <c r="G10" s="14" t="str">
        <f t="shared" si="1"/>
        <v>✓</v>
      </c>
      <c r="H10" s="15">
        <v>2025.0</v>
      </c>
      <c r="I10" s="11">
        <v>1.0</v>
      </c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1" t="s">
        <v>13</v>
      </c>
      <c r="C11" s="11" t="s">
        <v>14</v>
      </c>
      <c r="D11" s="12" t="s">
        <v>38</v>
      </c>
      <c r="E11" s="11" t="s">
        <v>39</v>
      </c>
      <c r="F11" s="12">
        <v>2025.0</v>
      </c>
      <c r="G11" s="14" t="str">
        <f t="shared" si="1"/>
        <v>✓</v>
      </c>
      <c r="H11" s="15">
        <v>2025.0</v>
      </c>
      <c r="I11" s="11">
        <v>1.0</v>
      </c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1" t="s">
        <v>13</v>
      </c>
      <c r="C12" s="11" t="s">
        <v>14</v>
      </c>
      <c r="D12" s="12" t="s">
        <v>42</v>
      </c>
      <c r="E12" s="11" t="s">
        <v>43</v>
      </c>
      <c r="F12" s="12">
        <v>2025.0</v>
      </c>
      <c r="G12" s="14" t="str">
        <f t="shared" si="1"/>
        <v>✓</v>
      </c>
      <c r="H12" s="15">
        <v>2025.0</v>
      </c>
      <c r="I12" s="11">
        <v>1.0</v>
      </c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7.0</v>
      </c>
      <c r="B13" s="11" t="s">
        <v>13</v>
      </c>
      <c r="C13" s="11" t="s">
        <v>14</v>
      </c>
      <c r="D13" s="12" t="s">
        <v>46</v>
      </c>
      <c r="E13" s="11" t="s">
        <v>47</v>
      </c>
      <c r="F13" s="12">
        <v>2025.0</v>
      </c>
      <c r="G13" s="14" t="str">
        <f t="shared" si="1"/>
        <v>✓</v>
      </c>
      <c r="H13" s="15">
        <v>2025.0</v>
      </c>
      <c r="I13" s="11">
        <v>1.0</v>
      </c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8.0</v>
      </c>
      <c r="B14" s="11" t="s">
        <v>13</v>
      </c>
      <c r="C14" s="11" t="s">
        <v>14</v>
      </c>
      <c r="D14" s="12" t="s">
        <v>55</v>
      </c>
      <c r="E14" s="11" t="s">
        <v>56</v>
      </c>
      <c r="F14" s="12">
        <v>2025.0</v>
      </c>
      <c r="G14" s="14" t="str">
        <f t="shared" si="1"/>
        <v>✓</v>
      </c>
      <c r="H14" s="15">
        <v>2025.0</v>
      </c>
      <c r="I14" s="11">
        <v>1.0</v>
      </c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9.0</v>
      </c>
      <c r="B15" s="11" t="s">
        <v>13</v>
      </c>
      <c r="C15" s="11" t="s">
        <v>14</v>
      </c>
      <c r="D15" s="12" t="s">
        <v>61</v>
      </c>
      <c r="E15" s="11" t="s">
        <v>62</v>
      </c>
      <c r="F15" s="12">
        <v>2025.0</v>
      </c>
      <c r="G15" s="14" t="str">
        <f t="shared" si="1"/>
        <v>✓</v>
      </c>
      <c r="H15" s="15">
        <v>2025.0</v>
      </c>
      <c r="I15" s="11">
        <v>1.0</v>
      </c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10.0</v>
      </c>
      <c r="B16" s="11" t="s">
        <v>13</v>
      </c>
      <c r="C16" s="11" t="s">
        <v>14</v>
      </c>
      <c r="D16" s="12" t="s">
        <v>65</v>
      </c>
      <c r="E16" s="11" t="s">
        <v>66</v>
      </c>
      <c r="F16" s="12">
        <v>2025.0</v>
      </c>
      <c r="G16" s="14" t="str">
        <f t="shared" si="1"/>
        <v>✓</v>
      </c>
      <c r="H16" s="15">
        <v>2025.0</v>
      </c>
      <c r="I16" s="11">
        <v>1.0</v>
      </c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11.0</v>
      </c>
      <c r="B17" s="11" t="s">
        <v>13</v>
      </c>
      <c r="C17" s="11" t="s">
        <v>14</v>
      </c>
      <c r="D17" s="12" t="s">
        <v>68</v>
      </c>
      <c r="E17" s="11" t="s">
        <v>69</v>
      </c>
      <c r="F17" s="12">
        <v>2025.0</v>
      </c>
      <c r="G17" s="14" t="str">
        <f t="shared" si="1"/>
        <v>✓</v>
      </c>
      <c r="H17" s="15">
        <v>2025.0</v>
      </c>
      <c r="I17" s="11">
        <v>1.0</v>
      </c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12.0</v>
      </c>
      <c r="B18" s="11" t="s">
        <v>13</v>
      </c>
      <c r="C18" s="11" t="s">
        <v>14</v>
      </c>
      <c r="D18" s="12" t="s">
        <v>73</v>
      </c>
      <c r="E18" s="11" t="s">
        <v>74</v>
      </c>
      <c r="F18" s="12">
        <v>2025.0</v>
      </c>
      <c r="G18" s="14" t="str">
        <f t="shared" si="1"/>
        <v>✓</v>
      </c>
      <c r="H18" s="15">
        <v>2025.0</v>
      </c>
      <c r="I18" s="11">
        <v>1.0</v>
      </c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13.0</v>
      </c>
      <c r="B19" s="11" t="s">
        <v>13</v>
      </c>
      <c r="C19" s="11" t="s">
        <v>14</v>
      </c>
      <c r="D19" s="12" t="s">
        <v>79</v>
      </c>
      <c r="E19" s="11" t="s">
        <v>80</v>
      </c>
      <c r="F19" s="12">
        <v>2025.0</v>
      </c>
      <c r="G19" s="14" t="str">
        <f t="shared" si="1"/>
        <v>✓</v>
      </c>
      <c r="H19" s="15">
        <v>2025.0</v>
      </c>
      <c r="I19" s="11">
        <v>1.0</v>
      </c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14.0</v>
      </c>
      <c r="B20" s="11" t="s">
        <v>13</v>
      </c>
      <c r="C20" s="11" t="s">
        <v>14</v>
      </c>
      <c r="D20" s="12" t="s">
        <v>81</v>
      </c>
      <c r="E20" s="11" t="s">
        <v>82</v>
      </c>
      <c r="F20" s="12">
        <v>2025.0</v>
      </c>
      <c r="G20" s="14" t="str">
        <f t="shared" si="1"/>
        <v>✓</v>
      </c>
      <c r="H20" s="15">
        <v>2025.0</v>
      </c>
      <c r="I20" s="11">
        <v>1.0</v>
      </c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>
        <v>15.0</v>
      </c>
      <c r="B21" s="11" t="s">
        <v>13</v>
      </c>
      <c r="C21" s="11" t="s">
        <v>14</v>
      </c>
      <c r="D21" s="12" t="s">
        <v>85</v>
      </c>
      <c r="E21" s="11" t="s">
        <v>86</v>
      </c>
      <c r="F21" s="12">
        <v>2025.0</v>
      </c>
      <c r="G21" s="14" t="str">
        <f t="shared" si="1"/>
        <v>✓</v>
      </c>
      <c r="H21" s="15">
        <v>2025.0</v>
      </c>
      <c r="I21" s="11">
        <v>1.0</v>
      </c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>
        <v>16.0</v>
      </c>
      <c r="B22" s="11" t="s">
        <v>13</v>
      </c>
      <c r="C22" s="11" t="s">
        <v>14</v>
      </c>
      <c r="D22" s="12" t="s">
        <v>89</v>
      </c>
      <c r="E22" s="11" t="s">
        <v>90</v>
      </c>
      <c r="F22" s="12">
        <v>2025.0</v>
      </c>
      <c r="G22" s="14" t="str">
        <f t="shared" si="1"/>
        <v>✓</v>
      </c>
      <c r="H22" s="15">
        <v>2025.0</v>
      </c>
      <c r="I22" s="11">
        <v>1.0</v>
      </c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>
        <v>17.0</v>
      </c>
      <c r="B23" s="11" t="s">
        <v>13</v>
      </c>
      <c r="C23" s="11" t="s">
        <v>14</v>
      </c>
      <c r="D23" s="12" t="s">
        <v>93</v>
      </c>
      <c r="E23" s="11" t="s">
        <v>94</v>
      </c>
      <c r="F23" s="12">
        <v>2025.0</v>
      </c>
      <c r="G23" s="14" t="str">
        <f t="shared" si="1"/>
        <v>✓</v>
      </c>
      <c r="H23" s="15">
        <v>2025.0</v>
      </c>
      <c r="I23" s="11">
        <v>1.0</v>
      </c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>
        <v>18.0</v>
      </c>
      <c r="B24" s="11" t="s">
        <v>13</v>
      </c>
      <c r="C24" s="11" t="s">
        <v>14</v>
      </c>
      <c r="D24" s="12" t="s">
        <v>95</v>
      </c>
      <c r="E24" s="11" t="s">
        <v>96</v>
      </c>
      <c r="F24" s="12">
        <v>2025.0</v>
      </c>
      <c r="G24" s="14" t="str">
        <f t="shared" si="1"/>
        <v>✓</v>
      </c>
      <c r="H24" s="15">
        <v>2025.0</v>
      </c>
      <c r="I24" s="11">
        <v>1.0</v>
      </c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>
        <v>19.0</v>
      </c>
      <c r="B25" s="11" t="s">
        <v>13</v>
      </c>
      <c r="C25" s="11" t="s">
        <v>14</v>
      </c>
      <c r="D25" s="12" t="s">
        <v>98</v>
      </c>
      <c r="E25" s="11" t="s">
        <v>99</v>
      </c>
      <c r="F25" s="12">
        <v>2025.0</v>
      </c>
      <c r="G25" s="14" t="str">
        <f t="shared" si="1"/>
        <v>✓</v>
      </c>
      <c r="H25" s="15">
        <v>2025.0</v>
      </c>
      <c r="I25" s="11">
        <v>1.0</v>
      </c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</sheetData>
  <mergeCells count="4">
    <mergeCell ref="A1:J1"/>
    <mergeCell ref="A2:J2"/>
    <mergeCell ref="A3:J3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4.25"/>
    <col customWidth="1" min="5" max="5" width="21.38"/>
    <col customWidth="1" min="7" max="7" width="6.38"/>
    <col customWidth="1" min="8" max="8" width="9.38"/>
    <col customWidth="1" min="9" max="9" width="5.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6" t="s">
        <v>11</v>
      </c>
      <c r="H6" s="7"/>
      <c r="I6" s="8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1" t="s">
        <v>15</v>
      </c>
      <c r="D7" s="12" t="s">
        <v>17</v>
      </c>
      <c r="E7" s="11" t="s">
        <v>19</v>
      </c>
      <c r="F7" s="12">
        <v>2026.0</v>
      </c>
      <c r="G7" s="14" t="str">
        <f t="shared" ref="G7:G17" si="1">IF(H7&lt;&gt;"","✓","")</f>
        <v/>
      </c>
      <c r="H7" s="16"/>
      <c r="I7" s="17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1" t="s">
        <v>15</v>
      </c>
      <c r="D8" s="12" t="s">
        <v>25</v>
      </c>
      <c r="E8" s="11" t="s">
        <v>26</v>
      </c>
      <c r="F8" s="12">
        <v>2026.0</v>
      </c>
      <c r="G8" s="14" t="str">
        <f t="shared" si="1"/>
        <v/>
      </c>
      <c r="H8" s="16"/>
      <c r="I8" s="17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1" t="s">
        <v>15</v>
      </c>
      <c r="D9" s="12" t="s">
        <v>30</v>
      </c>
      <c r="E9" s="11" t="s">
        <v>31</v>
      </c>
      <c r="F9" s="12">
        <v>2026.0</v>
      </c>
      <c r="G9" s="14" t="str">
        <f t="shared" si="1"/>
        <v/>
      </c>
      <c r="H9" s="16"/>
      <c r="I9" s="17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1" t="s">
        <v>15</v>
      </c>
      <c r="D10" s="12" t="s">
        <v>36</v>
      </c>
      <c r="E10" s="11" t="s">
        <v>37</v>
      </c>
      <c r="F10" s="12">
        <v>2026.0</v>
      </c>
      <c r="G10" s="14" t="str">
        <f t="shared" si="1"/>
        <v/>
      </c>
      <c r="H10" s="16"/>
      <c r="I10" s="17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1" t="s">
        <v>15</v>
      </c>
      <c r="D11" s="12" t="s">
        <v>44</v>
      </c>
      <c r="E11" s="11" t="s">
        <v>45</v>
      </c>
      <c r="F11" s="12">
        <v>2026.0</v>
      </c>
      <c r="G11" s="14" t="str">
        <f t="shared" si="1"/>
        <v/>
      </c>
      <c r="H11" s="16"/>
      <c r="I11" s="17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1" t="s">
        <v>13</v>
      </c>
      <c r="C12" s="11" t="s">
        <v>15</v>
      </c>
      <c r="D12" s="12" t="s">
        <v>50</v>
      </c>
      <c r="E12" s="11" t="s">
        <v>51</v>
      </c>
      <c r="F12" s="12">
        <v>2026.0</v>
      </c>
      <c r="G12" s="14" t="str">
        <f t="shared" si="1"/>
        <v/>
      </c>
      <c r="H12" s="16"/>
      <c r="I12" s="17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1" t="s">
        <v>13</v>
      </c>
      <c r="C13" s="11" t="s">
        <v>15</v>
      </c>
      <c r="D13" s="12" t="s">
        <v>53</v>
      </c>
      <c r="E13" s="11" t="s">
        <v>54</v>
      </c>
      <c r="F13" s="12">
        <v>2026.0</v>
      </c>
      <c r="G13" s="14" t="str">
        <f t="shared" si="1"/>
        <v/>
      </c>
      <c r="H13" s="16"/>
      <c r="I13" s="17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1" t="s">
        <v>13</v>
      </c>
      <c r="C14" s="11" t="s">
        <v>15</v>
      </c>
      <c r="D14" s="12" t="s">
        <v>59</v>
      </c>
      <c r="E14" s="11" t="s">
        <v>60</v>
      </c>
      <c r="F14" s="12">
        <v>2026.0</v>
      </c>
      <c r="G14" s="14" t="str">
        <f t="shared" si="1"/>
        <v/>
      </c>
      <c r="H14" s="16"/>
      <c r="I14" s="17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1" t="s">
        <v>13</v>
      </c>
      <c r="C15" s="11" t="s">
        <v>15</v>
      </c>
      <c r="D15" s="12" t="s">
        <v>63</v>
      </c>
      <c r="E15" s="11" t="s">
        <v>64</v>
      </c>
      <c r="F15" s="12">
        <v>2026.0</v>
      </c>
      <c r="G15" s="14" t="str">
        <f t="shared" si="1"/>
        <v/>
      </c>
      <c r="H15" s="16"/>
      <c r="I15" s="17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1" t="s">
        <v>13</v>
      </c>
      <c r="C16" s="11" t="s">
        <v>15</v>
      </c>
      <c r="D16" s="12" t="s">
        <v>70</v>
      </c>
      <c r="E16" s="11" t="s">
        <v>71</v>
      </c>
      <c r="F16" s="12">
        <v>2026.0</v>
      </c>
      <c r="G16" s="14" t="str">
        <f t="shared" si="1"/>
        <v/>
      </c>
      <c r="H16" s="16"/>
      <c r="I16" s="17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1" t="s">
        <v>13</v>
      </c>
      <c r="C17" s="11" t="s">
        <v>15</v>
      </c>
      <c r="D17" s="12" t="s">
        <v>75</v>
      </c>
      <c r="E17" s="11" t="s">
        <v>76</v>
      </c>
      <c r="F17" s="12">
        <v>2026.0</v>
      </c>
      <c r="G17" s="14" t="str">
        <f t="shared" si="1"/>
        <v/>
      </c>
      <c r="H17" s="16"/>
      <c r="I17" s="17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</sheetData>
  <mergeCells count="4">
    <mergeCell ref="A1:J1"/>
    <mergeCell ref="A2:J2"/>
    <mergeCell ref="A3:J3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24.25"/>
    <col customWidth="1" min="5" max="5" width="21.38"/>
    <col customWidth="1" min="7" max="7" width="6.38"/>
    <col customWidth="1" min="8" max="8" width="9.38"/>
    <col customWidth="1" min="9" max="9" width="5.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6" t="s">
        <v>11</v>
      </c>
      <c r="H6" s="7"/>
      <c r="I6" s="8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3" t="s">
        <v>13</v>
      </c>
      <c r="C7" s="13" t="s">
        <v>20</v>
      </c>
      <c r="D7" s="13" t="s">
        <v>21</v>
      </c>
      <c r="E7" s="13" t="s">
        <v>22</v>
      </c>
      <c r="F7" s="12">
        <v>2026.0</v>
      </c>
      <c r="G7" s="14" t="str">
        <f t="shared" ref="G7:G37" si="1">IF(H7&lt;&gt;"","✓","")</f>
        <v/>
      </c>
      <c r="H7" s="16"/>
      <c r="I7" s="17"/>
      <c r="J7" s="16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3" t="s">
        <v>13</v>
      </c>
      <c r="C8" s="13" t="s">
        <v>20</v>
      </c>
      <c r="D8" s="13" t="s">
        <v>29</v>
      </c>
      <c r="E8" s="13">
        <v>1.50908200383E15</v>
      </c>
      <c r="F8" s="12">
        <v>2026.0</v>
      </c>
      <c r="G8" s="14" t="str">
        <f t="shared" si="1"/>
        <v/>
      </c>
      <c r="H8" s="16"/>
      <c r="I8" s="17"/>
      <c r="J8" s="16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3" t="s">
        <v>13</v>
      </c>
      <c r="C9" s="13" t="s">
        <v>20</v>
      </c>
      <c r="D9" s="13" t="s">
        <v>34</v>
      </c>
      <c r="E9" s="13" t="s">
        <v>35</v>
      </c>
      <c r="F9" s="12">
        <v>2026.0</v>
      </c>
      <c r="G9" s="14" t="str">
        <f t="shared" si="1"/>
        <v/>
      </c>
      <c r="H9" s="16"/>
      <c r="I9" s="17"/>
      <c r="J9" s="1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3" t="s">
        <v>13</v>
      </c>
      <c r="C10" s="13" t="s">
        <v>20</v>
      </c>
      <c r="D10" s="13" t="s">
        <v>40</v>
      </c>
      <c r="E10" s="13" t="s">
        <v>41</v>
      </c>
      <c r="F10" s="12">
        <v>2026.0</v>
      </c>
      <c r="G10" s="14" t="str">
        <f t="shared" si="1"/>
        <v/>
      </c>
      <c r="H10" s="16"/>
      <c r="I10" s="17"/>
      <c r="J10" s="1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3" t="s">
        <v>13</v>
      </c>
      <c r="C11" s="13" t="s">
        <v>20</v>
      </c>
      <c r="D11" s="13" t="s">
        <v>48</v>
      </c>
      <c r="E11" s="13" t="s">
        <v>49</v>
      </c>
      <c r="F11" s="12">
        <v>2026.0</v>
      </c>
      <c r="G11" s="14" t="str">
        <f t="shared" si="1"/>
        <v/>
      </c>
      <c r="H11" s="16"/>
      <c r="I11" s="17"/>
      <c r="J11" s="1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3" t="s">
        <v>13</v>
      </c>
      <c r="C12" s="13" t="s">
        <v>20</v>
      </c>
      <c r="D12" s="13" t="s">
        <v>52</v>
      </c>
      <c r="E12" s="13">
        <v>1.50908020477E15</v>
      </c>
      <c r="F12" s="12">
        <v>2026.0</v>
      </c>
      <c r="G12" s="14" t="str">
        <f t="shared" si="1"/>
        <v/>
      </c>
      <c r="H12" s="16"/>
      <c r="I12" s="17"/>
      <c r="J12" s="1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3" t="s">
        <v>13</v>
      </c>
      <c r="C13" s="13" t="s">
        <v>20</v>
      </c>
      <c r="D13" s="13" t="s">
        <v>57</v>
      </c>
      <c r="E13" s="13" t="s">
        <v>58</v>
      </c>
      <c r="F13" s="12">
        <v>2026.0</v>
      </c>
      <c r="G13" s="14" t="str">
        <f t="shared" si="1"/>
        <v/>
      </c>
      <c r="H13" s="16"/>
      <c r="I13" s="17"/>
      <c r="J13" s="1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3" t="s">
        <v>13</v>
      </c>
      <c r="C14" s="13" t="s">
        <v>20</v>
      </c>
      <c r="D14" s="13" t="s">
        <v>67</v>
      </c>
      <c r="E14" s="13">
        <v>1.50908251298E15</v>
      </c>
      <c r="F14" s="12">
        <v>2026.0</v>
      </c>
      <c r="G14" s="14" t="str">
        <f t="shared" si="1"/>
        <v/>
      </c>
      <c r="H14" s="16"/>
      <c r="I14" s="17"/>
      <c r="J14" s="1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3" t="s">
        <v>13</v>
      </c>
      <c r="C15" s="13" t="s">
        <v>20</v>
      </c>
      <c r="D15" s="13" t="s">
        <v>72</v>
      </c>
      <c r="E15" s="13">
        <v>1.50908160483E15</v>
      </c>
      <c r="F15" s="12">
        <v>2026.0</v>
      </c>
      <c r="G15" s="14" t="str">
        <f t="shared" si="1"/>
        <v/>
      </c>
      <c r="H15" s="16"/>
      <c r="I15" s="17"/>
      <c r="J15" s="1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3" t="s">
        <v>13</v>
      </c>
      <c r="C16" s="13" t="s">
        <v>20</v>
      </c>
      <c r="D16" s="13" t="s">
        <v>77</v>
      </c>
      <c r="E16" s="13" t="s">
        <v>78</v>
      </c>
      <c r="F16" s="12">
        <v>2026.0</v>
      </c>
      <c r="G16" s="14" t="str">
        <f t="shared" si="1"/>
        <v/>
      </c>
      <c r="H16" s="16"/>
      <c r="I16" s="17"/>
      <c r="J16" s="1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3" t="s">
        <v>13</v>
      </c>
      <c r="C17" s="13" t="s">
        <v>20</v>
      </c>
      <c r="D17" s="13" t="s">
        <v>83</v>
      </c>
      <c r="E17" s="13" t="s">
        <v>84</v>
      </c>
      <c r="F17" s="12">
        <v>2026.0</v>
      </c>
      <c r="G17" s="14" t="str">
        <f t="shared" si="1"/>
        <v/>
      </c>
      <c r="H17" s="16"/>
      <c r="I17" s="17"/>
      <c r="J17" s="1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3" t="s">
        <v>13</v>
      </c>
      <c r="C18" s="13" t="s">
        <v>20</v>
      </c>
      <c r="D18" s="13" t="s">
        <v>87</v>
      </c>
      <c r="E18" s="13" t="s">
        <v>88</v>
      </c>
      <c r="F18" s="12">
        <v>2026.0</v>
      </c>
      <c r="G18" s="14" t="str">
        <f t="shared" si="1"/>
        <v/>
      </c>
      <c r="H18" s="16"/>
      <c r="I18" s="17"/>
      <c r="J18" s="16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3" t="s">
        <v>13</v>
      </c>
      <c r="C19" s="13" t="s">
        <v>20</v>
      </c>
      <c r="D19" s="13" t="s">
        <v>91</v>
      </c>
      <c r="E19" s="13" t="s">
        <v>92</v>
      </c>
      <c r="F19" s="12">
        <v>2026.0</v>
      </c>
      <c r="G19" s="14" t="str">
        <f t="shared" si="1"/>
        <v/>
      </c>
      <c r="H19" s="16"/>
      <c r="I19" s="17"/>
      <c r="J19" s="16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3" t="s">
        <v>13</v>
      </c>
      <c r="C20" s="13" t="s">
        <v>20</v>
      </c>
      <c r="D20" s="13" t="s">
        <v>97</v>
      </c>
      <c r="E20" s="13">
        <v>1.50908200677E15</v>
      </c>
      <c r="F20" s="12">
        <v>2026.0</v>
      </c>
      <c r="G20" s="14" t="str">
        <f t="shared" si="1"/>
        <v/>
      </c>
      <c r="H20" s="16"/>
      <c r="I20" s="17"/>
      <c r="J20" s="16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3" t="s">
        <v>13</v>
      </c>
      <c r="C21" s="13" t="s">
        <v>20</v>
      </c>
      <c r="D21" s="13" t="s">
        <v>100</v>
      </c>
      <c r="E21" s="13" t="s">
        <v>101</v>
      </c>
      <c r="F21" s="12">
        <v>2026.0</v>
      </c>
      <c r="G21" s="14" t="str">
        <f t="shared" si="1"/>
        <v/>
      </c>
      <c r="H21" s="16"/>
      <c r="I21" s="17"/>
      <c r="J21" s="1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3" t="s">
        <v>13</v>
      </c>
      <c r="C22" s="13" t="s">
        <v>20</v>
      </c>
      <c r="D22" s="13" t="s">
        <v>102</v>
      </c>
      <c r="E22" s="13" t="s">
        <v>103</v>
      </c>
      <c r="F22" s="12">
        <v>2026.0</v>
      </c>
      <c r="G22" s="14" t="str">
        <f t="shared" si="1"/>
        <v/>
      </c>
      <c r="H22" s="16"/>
      <c r="I22" s="17"/>
      <c r="J22" s="16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3" t="s">
        <v>13</v>
      </c>
      <c r="C23" s="13" t="s">
        <v>20</v>
      </c>
      <c r="D23" s="13" t="s">
        <v>104</v>
      </c>
      <c r="E23" s="13" t="s">
        <v>105</v>
      </c>
      <c r="F23" s="12">
        <v>2026.0</v>
      </c>
      <c r="G23" s="14" t="str">
        <f t="shared" si="1"/>
        <v/>
      </c>
      <c r="H23" s="16"/>
      <c r="I23" s="17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3" t="s">
        <v>13</v>
      </c>
      <c r="C24" s="13" t="s">
        <v>20</v>
      </c>
      <c r="D24" s="13" t="s">
        <v>106</v>
      </c>
      <c r="E24" s="13" t="s">
        <v>107</v>
      </c>
      <c r="F24" s="12">
        <v>2026.0</v>
      </c>
      <c r="G24" s="14" t="str">
        <f t="shared" si="1"/>
        <v/>
      </c>
      <c r="H24" s="16"/>
      <c r="I24" s="17"/>
      <c r="J24" s="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3" t="s">
        <v>13</v>
      </c>
      <c r="C25" s="13" t="s">
        <v>20</v>
      </c>
      <c r="D25" s="13" t="s">
        <v>108</v>
      </c>
      <c r="E25" s="13" t="s">
        <v>109</v>
      </c>
      <c r="F25" s="12">
        <v>2026.0</v>
      </c>
      <c r="G25" s="14" t="str">
        <f t="shared" si="1"/>
        <v/>
      </c>
      <c r="H25" s="16"/>
      <c r="I25" s="17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3" t="s">
        <v>13</v>
      </c>
      <c r="C26" s="13" t="s">
        <v>20</v>
      </c>
      <c r="D26" s="13" t="s">
        <v>110</v>
      </c>
      <c r="E26" s="13" t="s">
        <v>111</v>
      </c>
      <c r="F26" s="12">
        <v>2026.0</v>
      </c>
      <c r="G26" s="14" t="str">
        <f t="shared" si="1"/>
        <v/>
      </c>
      <c r="H26" s="16"/>
      <c r="I26" s="17"/>
      <c r="J26" s="16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3" t="s">
        <v>13</v>
      </c>
      <c r="C27" s="13" t="s">
        <v>20</v>
      </c>
      <c r="D27" s="13" t="s">
        <v>112</v>
      </c>
      <c r="E27" s="13" t="s">
        <v>113</v>
      </c>
      <c r="F27" s="12">
        <v>2026.0</v>
      </c>
      <c r="G27" s="14" t="str">
        <f t="shared" si="1"/>
        <v/>
      </c>
      <c r="H27" s="16"/>
      <c r="I27" s="17"/>
      <c r="J27" s="16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3" t="s">
        <v>13</v>
      </c>
      <c r="C28" s="13" t="s">
        <v>20</v>
      </c>
      <c r="D28" s="13" t="s">
        <v>70</v>
      </c>
      <c r="E28" s="13">
        <v>1.50908010179E15</v>
      </c>
      <c r="F28" s="12">
        <v>2026.0</v>
      </c>
      <c r="G28" s="14" t="str">
        <f t="shared" si="1"/>
        <v/>
      </c>
      <c r="H28" s="16"/>
      <c r="I28" s="17"/>
      <c r="J28" s="16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3" t="s">
        <v>13</v>
      </c>
      <c r="C29" s="13" t="s">
        <v>20</v>
      </c>
      <c r="D29" s="13" t="s">
        <v>114</v>
      </c>
      <c r="E29" s="13" t="s">
        <v>115</v>
      </c>
      <c r="F29" s="12">
        <v>2026.0</v>
      </c>
      <c r="G29" s="14" t="str">
        <f t="shared" si="1"/>
        <v/>
      </c>
      <c r="H29" s="16"/>
      <c r="I29" s="17"/>
      <c r="J29" s="16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3" t="s">
        <v>13</v>
      </c>
      <c r="C30" s="13" t="s">
        <v>20</v>
      </c>
      <c r="D30" s="13" t="s">
        <v>116</v>
      </c>
      <c r="E30" s="13">
        <v>1.50908050984E15</v>
      </c>
      <c r="F30" s="12">
        <v>2026.0</v>
      </c>
      <c r="G30" s="14" t="str">
        <f t="shared" si="1"/>
        <v/>
      </c>
      <c r="H30" s="16"/>
      <c r="I30" s="17"/>
      <c r="J30" s="16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3" t="s">
        <v>13</v>
      </c>
      <c r="C31" s="13" t="s">
        <v>20</v>
      </c>
      <c r="D31" s="13" t="s">
        <v>117</v>
      </c>
      <c r="E31" s="13" t="s">
        <v>118</v>
      </c>
      <c r="F31" s="12">
        <v>2026.0</v>
      </c>
      <c r="G31" s="14" t="str">
        <f t="shared" si="1"/>
        <v/>
      </c>
      <c r="H31" s="16"/>
      <c r="I31" s="17"/>
      <c r="J31" s="16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26.0</v>
      </c>
      <c r="B32" s="13" t="s">
        <v>13</v>
      </c>
      <c r="C32" s="13" t="s">
        <v>20</v>
      </c>
      <c r="D32" s="13" t="s">
        <v>119</v>
      </c>
      <c r="E32" s="13" t="s">
        <v>120</v>
      </c>
      <c r="F32" s="12">
        <v>2026.0</v>
      </c>
      <c r="G32" s="14" t="str">
        <f t="shared" si="1"/>
        <v/>
      </c>
      <c r="H32" s="16"/>
      <c r="I32" s="17"/>
      <c r="J32" s="1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>
        <v>27.0</v>
      </c>
      <c r="B33" s="13" t="s">
        <v>13</v>
      </c>
      <c r="C33" s="13" t="s">
        <v>20</v>
      </c>
      <c r="D33" s="13" t="s">
        <v>121</v>
      </c>
      <c r="E33" s="13" t="s">
        <v>122</v>
      </c>
      <c r="F33" s="12">
        <v>2026.0</v>
      </c>
      <c r="G33" s="14" t="str">
        <f t="shared" si="1"/>
        <v/>
      </c>
      <c r="H33" s="16"/>
      <c r="I33" s="17"/>
      <c r="J33" s="1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>
        <v>28.0</v>
      </c>
      <c r="B34" s="13" t="s">
        <v>13</v>
      </c>
      <c r="C34" s="13" t="s">
        <v>20</v>
      </c>
      <c r="D34" s="13" t="s">
        <v>123</v>
      </c>
      <c r="E34" s="13" t="s">
        <v>124</v>
      </c>
      <c r="F34" s="12">
        <v>2026.0</v>
      </c>
      <c r="G34" s="14" t="str">
        <f t="shared" si="1"/>
        <v/>
      </c>
      <c r="H34" s="16"/>
      <c r="I34" s="17"/>
      <c r="J34" s="1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>
        <v>29.0</v>
      </c>
      <c r="B35" s="13" t="s">
        <v>13</v>
      </c>
      <c r="C35" s="13" t="s">
        <v>20</v>
      </c>
      <c r="D35" s="13" t="s">
        <v>125</v>
      </c>
      <c r="E35" s="13" t="s">
        <v>126</v>
      </c>
      <c r="F35" s="12">
        <v>2026.0</v>
      </c>
      <c r="G35" s="14" t="str">
        <f t="shared" si="1"/>
        <v/>
      </c>
      <c r="H35" s="16"/>
      <c r="I35" s="17"/>
      <c r="J35" s="16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>
        <v>30.0</v>
      </c>
      <c r="B36" s="13" t="s">
        <v>13</v>
      </c>
      <c r="C36" s="13" t="s">
        <v>20</v>
      </c>
      <c r="D36" s="13" t="s">
        <v>127</v>
      </c>
      <c r="E36" s="13" t="s">
        <v>128</v>
      </c>
      <c r="F36" s="12">
        <v>2026.0</v>
      </c>
      <c r="G36" s="14" t="str">
        <f t="shared" si="1"/>
        <v/>
      </c>
      <c r="H36" s="16"/>
      <c r="I36" s="17"/>
      <c r="J36" s="16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>
        <v>31.0</v>
      </c>
      <c r="B37" s="13" t="s">
        <v>13</v>
      </c>
      <c r="C37" s="13" t="s">
        <v>20</v>
      </c>
      <c r="D37" s="13" t="s">
        <v>129</v>
      </c>
      <c r="E37" s="13" t="s">
        <v>130</v>
      </c>
      <c r="F37" s="12">
        <v>2026.0</v>
      </c>
      <c r="G37" s="14" t="str">
        <f t="shared" si="1"/>
        <v/>
      </c>
      <c r="H37" s="16"/>
      <c r="I37" s="17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</sheetData>
  <mergeCells count="4">
    <mergeCell ref="A1:J1"/>
    <mergeCell ref="A2:J2"/>
    <mergeCell ref="A3:J3"/>
    <mergeCell ref="G6:H6"/>
  </mergeCells>
  <drawing r:id="rId1"/>
</worksheet>
</file>