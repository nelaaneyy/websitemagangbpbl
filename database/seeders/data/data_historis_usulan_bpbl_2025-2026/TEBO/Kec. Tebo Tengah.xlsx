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URAN BATANG TEBO" sheetId="1" r:id="rId5"/>
    <sheet state="visible" name="SUNGAI ALAY" sheetId="2" r:id="rId6"/>
    <sheet state="visible" name="TEBING TINGGI" sheetId="3" r:id="rId7"/>
    <sheet state="visible" name="MANGUN JAYO" sheetId="4" r:id="rId8"/>
    <sheet state="visible" name="MUARA TEBO" sheetId="5" r:id="rId9"/>
    <sheet state="visible" name="BEDARO RAMPAK" sheetId="6" r:id="rId10"/>
  </sheets>
  <definedNames/>
  <calcPr/>
</workbook>
</file>

<file path=xl/sharedStrings.xml><?xml version="1.0" encoding="utf-8"?>
<sst xmlns="http://schemas.openxmlformats.org/spreadsheetml/2006/main" count="206" uniqueCount="84">
  <si>
    <t>REKAPITULASI USULAN DAN REALISASI PENERIMAAN BPBL PROVINSI JAMBI</t>
  </si>
  <si>
    <t>MELALUI KEGIATAN PLN (Sumber Dana APBN)</t>
  </si>
  <si>
    <t>TAHUN 2025-2026</t>
  </si>
  <si>
    <t>Kab/Kota</t>
  </si>
  <si>
    <t>: Kabupaten Tebo</t>
  </si>
  <si>
    <t>NO</t>
  </si>
  <si>
    <t>KECAMATAN</t>
  </si>
  <si>
    <t>DESA/KELURAHAN</t>
  </si>
  <si>
    <t>NAMA</t>
  </si>
  <si>
    <t>NIK</t>
  </si>
  <si>
    <t>Usulan</t>
  </si>
  <si>
    <t>Realisasi</t>
  </si>
  <si>
    <t>Keterangan</t>
  </si>
  <si>
    <t>TEBO TENGAH</t>
  </si>
  <si>
    <t>TEBING TINGGI</t>
  </si>
  <si>
    <t>ALJAN</t>
  </si>
  <si>
    <t>1509010301890002</t>
  </si>
  <si>
    <t>SUNGAI ALAI</t>
  </si>
  <si>
    <t>MANGUN JAYO</t>
  </si>
  <si>
    <t>ROSMA</t>
  </si>
  <si>
    <t>ADANG HIDAYAT</t>
  </si>
  <si>
    <t>1509015202570003</t>
  </si>
  <si>
    <t>3279012606910002</t>
  </si>
  <si>
    <t>ABURAN BATANG TEBO</t>
  </si>
  <si>
    <t>DARMAWAN</t>
  </si>
  <si>
    <t>1671071508760013</t>
  </si>
  <si>
    <t>AHMAD MUNAWAR</t>
  </si>
  <si>
    <t>1509010707930002</t>
  </si>
  <si>
    <t>RUSDI EFENDI</t>
  </si>
  <si>
    <t>1503061312750012</t>
  </si>
  <si>
    <t>ALI IMRAN</t>
  </si>
  <si>
    <t>1508020606780001</t>
  </si>
  <si>
    <t>ALKONI SAPUTRA</t>
  </si>
  <si>
    <t>1509012909970004</t>
  </si>
  <si>
    <t>DEDI PRATAMA</t>
  </si>
  <si>
    <t>1509010808960003</t>
  </si>
  <si>
    <t>EFRIKA DEWI</t>
  </si>
  <si>
    <t>1509014408780003</t>
  </si>
  <si>
    <t>EGA KURNIAWAN</t>
  </si>
  <si>
    <t>1508121102970001</t>
  </si>
  <si>
    <t>GIMAN</t>
  </si>
  <si>
    <t>1509053112390001</t>
  </si>
  <si>
    <t>HELMI</t>
  </si>
  <si>
    <t>1509011702760001</t>
  </si>
  <si>
    <t>IBNU HAJAR</t>
  </si>
  <si>
    <t>1509010605750001</t>
  </si>
  <si>
    <t>M. AGUNG RAHMADANI</t>
  </si>
  <si>
    <t>1509012311980001</t>
  </si>
  <si>
    <t>M. TARMIZI</t>
  </si>
  <si>
    <t>1509010107900232</t>
  </si>
  <si>
    <t>MERI M. P</t>
  </si>
  <si>
    <t>1509014306000002</t>
  </si>
  <si>
    <t>MUHAMMAD KUSEN PRASETYO</t>
  </si>
  <si>
    <t>1509051104910002</t>
  </si>
  <si>
    <t>PANDAM</t>
  </si>
  <si>
    <t>1509011006750001</t>
  </si>
  <si>
    <t>PONIMAN</t>
  </si>
  <si>
    <t>1509011002610002</t>
  </si>
  <si>
    <t>RIDO ISKANDAR</t>
  </si>
  <si>
    <t>1509120402920001</t>
  </si>
  <si>
    <t>RIKI IRAWAN</t>
  </si>
  <si>
    <t>1509011502010001</t>
  </si>
  <si>
    <t>ROBI YANTO</t>
  </si>
  <si>
    <t>1508110506960001</t>
  </si>
  <si>
    <t>SARMINI</t>
  </si>
  <si>
    <t>1509014409360002</t>
  </si>
  <si>
    <t>SOFIAN DALIMUNTE</t>
  </si>
  <si>
    <t>1509012404760003</t>
  </si>
  <si>
    <t>SUKIJAN</t>
  </si>
  <si>
    <t>1509011107680007</t>
  </si>
  <si>
    <t>TENDIANSAH</t>
  </si>
  <si>
    <t>1222051305990002</t>
  </si>
  <si>
    <t>TUJIMAN</t>
  </si>
  <si>
    <t>1509013012740001</t>
  </si>
  <si>
    <t>VERY HERMANDA</t>
  </si>
  <si>
    <t>1507023010990001</t>
  </si>
  <si>
    <t>WIJIYONO</t>
  </si>
  <si>
    <t>1509012310910001</t>
  </si>
  <si>
    <t>MUARA TEBO</t>
  </si>
  <si>
    <t>BEDARO RAMPAK</t>
  </si>
  <si>
    <t>RAMUNAH</t>
  </si>
  <si>
    <t>NELSON</t>
  </si>
  <si>
    <t>1509015606560002</t>
  </si>
  <si>
    <t>1509010801750001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</si>
</sst>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right"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21.13"/>
    <col customWidth="1" min="4" max="4" width="27.63"/>
    <col customWidth="1" min="5" max="5" width="21.63"/>
    <col customWidth="1" min="7" max="7" width="4.25"/>
    <col customWidth="1" min="8" max="8" width="7.75"/>
    <col customWidth="1" min="9" max="9" width="3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>
        <v>1.0</v>
      </c>
      <c r="B7" s="13" t="s">
        <v>13</v>
      </c>
      <c r="C7" s="13" t="s">
        <v>23</v>
      </c>
      <c r="D7" s="11" t="s">
        <v>24</v>
      </c>
      <c r="E7" s="13" t="s">
        <v>25</v>
      </c>
      <c r="F7" s="11">
        <v>2026.0</v>
      </c>
      <c r="G7" s="16" t="str">
        <f t="shared" ref="G7:G8" si="1">IF(H7&lt;&gt;"","✓","")</f>
        <v/>
      </c>
      <c r="H7" s="17"/>
      <c r="I7" s="15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>
        <v>2.0</v>
      </c>
      <c r="B8" s="13" t="s">
        <v>13</v>
      </c>
      <c r="C8" s="13" t="s">
        <v>23</v>
      </c>
      <c r="D8" s="11" t="s">
        <v>28</v>
      </c>
      <c r="E8" s="13" t="s">
        <v>29</v>
      </c>
      <c r="F8" s="11">
        <v>2026.0</v>
      </c>
      <c r="G8" s="16" t="str">
        <f t="shared" si="1"/>
        <v/>
      </c>
      <c r="H8" s="17"/>
      <c r="I8" s="15"/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</sheetData>
  <mergeCells count="4">
    <mergeCell ref="A1:J1"/>
    <mergeCell ref="A2:J2"/>
    <mergeCell ref="A3:J3"/>
    <mergeCell ref="G6:H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21.13"/>
    <col customWidth="1" min="4" max="4" width="27.63"/>
    <col customWidth="1" min="5" max="5" width="21.63"/>
    <col customWidth="1" min="7" max="7" width="4.25"/>
    <col customWidth="1" min="8" max="8" width="7.75"/>
    <col customWidth="1" min="9" max="9" width="3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3" t="s">
        <v>13</v>
      </c>
      <c r="C7" s="13" t="s">
        <v>17</v>
      </c>
      <c r="D7" s="11" t="s">
        <v>20</v>
      </c>
      <c r="E7" s="13" t="s">
        <v>22</v>
      </c>
      <c r="F7" s="11">
        <v>2026.0</v>
      </c>
      <c r="G7" s="16" t="str">
        <f t="shared" ref="G7:G32" si="1">IF(H7&lt;&gt;"","✓","")</f>
        <v/>
      </c>
      <c r="H7" s="17"/>
      <c r="I7" s="15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3" t="s">
        <v>13</v>
      </c>
      <c r="C8" s="13" t="s">
        <v>17</v>
      </c>
      <c r="D8" s="11" t="s">
        <v>26</v>
      </c>
      <c r="E8" s="13" t="s">
        <v>27</v>
      </c>
      <c r="F8" s="11">
        <v>2026.0</v>
      </c>
      <c r="G8" s="16" t="str">
        <f t="shared" si="1"/>
        <v/>
      </c>
      <c r="H8" s="17"/>
      <c r="I8" s="15"/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3" t="s">
        <v>13</v>
      </c>
      <c r="C9" s="13" t="s">
        <v>17</v>
      </c>
      <c r="D9" s="11" t="s">
        <v>30</v>
      </c>
      <c r="E9" s="13" t="s">
        <v>31</v>
      </c>
      <c r="F9" s="11">
        <v>2026.0</v>
      </c>
      <c r="G9" s="16" t="str">
        <f t="shared" si="1"/>
        <v/>
      </c>
      <c r="H9" s="17"/>
      <c r="I9" s="15"/>
      <c r="J9" s="1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3" t="s">
        <v>13</v>
      </c>
      <c r="C10" s="13" t="s">
        <v>17</v>
      </c>
      <c r="D10" s="11" t="s">
        <v>32</v>
      </c>
      <c r="E10" s="13" t="s">
        <v>33</v>
      </c>
      <c r="F10" s="11">
        <v>2026.0</v>
      </c>
      <c r="G10" s="16" t="str">
        <f t="shared" si="1"/>
        <v/>
      </c>
      <c r="H10" s="17"/>
      <c r="I10" s="15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3" t="s">
        <v>13</v>
      </c>
      <c r="C11" s="13" t="s">
        <v>17</v>
      </c>
      <c r="D11" s="11" t="s">
        <v>34</v>
      </c>
      <c r="E11" s="13" t="s">
        <v>35</v>
      </c>
      <c r="F11" s="11">
        <v>2026.0</v>
      </c>
      <c r="G11" s="16" t="str">
        <f t="shared" si="1"/>
        <v/>
      </c>
      <c r="H11" s="17"/>
      <c r="I11" s="15"/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3" t="s">
        <v>13</v>
      </c>
      <c r="C12" s="13" t="s">
        <v>17</v>
      </c>
      <c r="D12" s="11" t="s">
        <v>36</v>
      </c>
      <c r="E12" s="13" t="s">
        <v>37</v>
      </c>
      <c r="F12" s="11">
        <v>2026.0</v>
      </c>
      <c r="G12" s="16" t="str">
        <f t="shared" si="1"/>
        <v/>
      </c>
      <c r="H12" s="17"/>
      <c r="I12" s="15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3" t="s">
        <v>13</v>
      </c>
      <c r="C13" s="13" t="s">
        <v>17</v>
      </c>
      <c r="D13" s="11" t="s">
        <v>38</v>
      </c>
      <c r="E13" s="13" t="s">
        <v>39</v>
      </c>
      <c r="F13" s="11">
        <v>2026.0</v>
      </c>
      <c r="G13" s="16" t="str">
        <f t="shared" si="1"/>
        <v/>
      </c>
      <c r="H13" s="17"/>
      <c r="I13" s="15"/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3" t="s">
        <v>13</v>
      </c>
      <c r="C14" s="13" t="s">
        <v>17</v>
      </c>
      <c r="D14" s="11" t="s">
        <v>40</v>
      </c>
      <c r="E14" s="13" t="s">
        <v>41</v>
      </c>
      <c r="F14" s="11">
        <v>2026.0</v>
      </c>
      <c r="G14" s="16" t="str">
        <f t="shared" si="1"/>
        <v/>
      </c>
      <c r="H14" s="17"/>
      <c r="I14" s="15"/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3" t="s">
        <v>13</v>
      </c>
      <c r="C15" s="13" t="s">
        <v>17</v>
      </c>
      <c r="D15" s="11" t="s">
        <v>42</v>
      </c>
      <c r="E15" s="13" t="s">
        <v>43</v>
      </c>
      <c r="F15" s="11">
        <v>2026.0</v>
      </c>
      <c r="G15" s="16" t="str">
        <f t="shared" si="1"/>
        <v/>
      </c>
      <c r="H15" s="17"/>
      <c r="I15" s="15"/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3" t="s">
        <v>13</v>
      </c>
      <c r="C16" s="13" t="s">
        <v>17</v>
      </c>
      <c r="D16" s="11" t="s">
        <v>44</v>
      </c>
      <c r="E16" s="13" t="s">
        <v>45</v>
      </c>
      <c r="F16" s="11">
        <v>2026.0</v>
      </c>
      <c r="G16" s="16" t="str">
        <f t="shared" si="1"/>
        <v/>
      </c>
      <c r="H16" s="17"/>
      <c r="I16" s="15"/>
      <c r="J16" s="1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3" t="s">
        <v>13</v>
      </c>
      <c r="C17" s="13" t="s">
        <v>17</v>
      </c>
      <c r="D17" s="11" t="s">
        <v>46</v>
      </c>
      <c r="E17" s="13" t="s">
        <v>47</v>
      </c>
      <c r="F17" s="11">
        <v>2026.0</v>
      </c>
      <c r="G17" s="16" t="str">
        <f t="shared" si="1"/>
        <v/>
      </c>
      <c r="H17" s="17"/>
      <c r="I17" s="15"/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12.0</v>
      </c>
      <c r="B18" s="13" t="s">
        <v>13</v>
      </c>
      <c r="C18" s="13" t="s">
        <v>17</v>
      </c>
      <c r="D18" s="11" t="s">
        <v>48</v>
      </c>
      <c r="E18" s="13" t="s">
        <v>49</v>
      </c>
      <c r="F18" s="11">
        <v>2026.0</v>
      </c>
      <c r="G18" s="16" t="str">
        <f t="shared" si="1"/>
        <v/>
      </c>
      <c r="H18" s="17"/>
      <c r="I18" s="15"/>
      <c r="J18" s="1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13.0</v>
      </c>
      <c r="B19" s="13" t="s">
        <v>13</v>
      </c>
      <c r="C19" s="13" t="s">
        <v>17</v>
      </c>
      <c r="D19" s="11" t="s">
        <v>50</v>
      </c>
      <c r="E19" s="13" t="s">
        <v>51</v>
      </c>
      <c r="F19" s="11">
        <v>2026.0</v>
      </c>
      <c r="G19" s="16" t="str">
        <f t="shared" si="1"/>
        <v/>
      </c>
      <c r="H19" s="17"/>
      <c r="I19" s="15"/>
      <c r="J19" s="1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14.0</v>
      </c>
      <c r="B20" s="13" t="s">
        <v>13</v>
      </c>
      <c r="C20" s="13" t="s">
        <v>17</v>
      </c>
      <c r="D20" s="11" t="s">
        <v>52</v>
      </c>
      <c r="E20" s="13" t="s">
        <v>53</v>
      </c>
      <c r="F20" s="11">
        <v>2026.0</v>
      </c>
      <c r="G20" s="16" t="str">
        <f t="shared" si="1"/>
        <v/>
      </c>
      <c r="H20" s="17"/>
      <c r="I20" s="15"/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>
        <v>15.0</v>
      </c>
      <c r="B21" s="13" t="s">
        <v>13</v>
      </c>
      <c r="C21" s="13" t="s">
        <v>17</v>
      </c>
      <c r="D21" s="11" t="s">
        <v>54</v>
      </c>
      <c r="E21" s="13" t="s">
        <v>55</v>
      </c>
      <c r="F21" s="11">
        <v>2026.0</v>
      </c>
      <c r="G21" s="16" t="str">
        <f t="shared" si="1"/>
        <v/>
      </c>
      <c r="H21" s="17"/>
      <c r="I21" s="15"/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>
        <v>16.0</v>
      </c>
      <c r="B22" s="13" t="s">
        <v>13</v>
      </c>
      <c r="C22" s="13" t="s">
        <v>17</v>
      </c>
      <c r="D22" s="11" t="s">
        <v>56</v>
      </c>
      <c r="E22" s="13" t="s">
        <v>57</v>
      </c>
      <c r="F22" s="11">
        <v>2026.0</v>
      </c>
      <c r="G22" s="16" t="str">
        <f t="shared" si="1"/>
        <v/>
      </c>
      <c r="H22" s="17"/>
      <c r="I22" s="15"/>
      <c r="J22" s="1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>
        <v>17.0</v>
      </c>
      <c r="B23" s="13" t="s">
        <v>13</v>
      </c>
      <c r="C23" s="13" t="s">
        <v>17</v>
      </c>
      <c r="D23" s="11" t="s">
        <v>58</v>
      </c>
      <c r="E23" s="13" t="s">
        <v>59</v>
      </c>
      <c r="F23" s="11">
        <v>2026.0</v>
      </c>
      <c r="G23" s="16" t="str">
        <f t="shared" si="1"/>
        <v/>
      </c>
      <c r="H23" s="17"/>
      <c r="I23" s="15"/>
      <c r="J23" s="1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>
        <v>18.0</v>
      </c>
      <c r="B24" s="13" t="s">
        <v>13</v>
      </c>
      <c r="C24" s="13" t="s">
        <v>17</v>
      </c>
      <c r="D24" s="11" t="s">
        <v>60</v>
      </c>
      <c r="E24" s="13" t="s">
        <v>61</v>
      </c>
      <c r="F24" s="11">
        <v>2026.0</v>
      </c>
      <c r="G24" s="16" t="str">
        <f t="shared" si="1"/>
        <v/>
      </c>
      <c r="H24" s="17"/>
      <c r="I24" s="15"/>
      <c r="J24" s="1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>
        <v>19.0</v>
      </c>
      <c r="B25" s="13" t="s">
        <v>13</v>
      </c>
      <c r="C25" s="13" t="s">
        <v>17</v>
      </c>
      <c r="D25" s="11" t="s">
        <v>62</v>
      </c>
      <c r="E25" s="13" t="s">
        <v>63</v>
      </c>
      <c r="F25" s="11">
        <v>2026.0</v>
      </c>
      <c r="G25" s="16" t="str">
        <f t="shared" si="1"/>
        <v/>
      </c>
      <c r="H25" s="17"/>
      <c r="I25" s="15"/>
      <c r="J25" s="1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>
        <v>20.0</v>
      </c>
      <c r="B26" s="13" t="s">
        <v>13</v>
      </c>
      <c r="C26" s="13" t="s">
        <v>17</v>
      </c>
      <c r="D26" s="11" t="s">
        <v>64</v>
      </c>
      <c r="E26" s="13" t="s">
        <v>65</v>
      </c>
      <c r="F26" s="11">
        <v>2026.0</v>
      </c>
      <c r="G26" s="16" t="str">
        <f t="shared" si="1"/>
        <v/>
      </c>
      <c r="H26" s="17"/>
      <c r="I26" s="15"/>
      <c r="J26" s="1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>
        <v>21.0</v>
      </c>
      <c r="B27" s="13" t="s">
        <v>13</v>
      </c>
      <c r="C27" s="13" t="s">
        <v>17</v>
      </c>
      <c r="D27" s="11" t="s">
        <v>66</v>
      </c>
      <c r="E27" s="13" t="s">
        <v>67</v>
      </c>
      <c r="F27" s="11">
        <v>2026.0</v>
      </c>
      <c r="G27" s="16" t="str">
        <f t="shared" si="1"/>
        <v/>
      </c>
      <c r="H27" s="17"/>
      <c r="I27" s="15"/>
      <c r="J27" s="1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>
        <v>22.0</v>
      </c>
      <c r="B28" s="13" t="s">
        <v>13</v>
      </c>
      <c r="C28" s="13" t="s">
        <v>17</v>
      </c>
      <c r="D28" s="11" t="s">
        <v>68</v>
      </c>
      <c r="E28" s="13" t="s">
        <v>69</v>
      </c>
      <c r="F28" s="11">
        <v>2026.0</v>
      </c>
      <c r="G28" s="16" t="str">
        <f t="shared" si="1"/>
        <v/>
      </c>
      <c r="H28" s="17"/>
      <c r="I28" s="15"/>
      <c r="J28" s="1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0">
        <v>23.0</v>
      </c>
      <c r="B29" s="13" t="s">
        <v>13</v>
      </c>
      <c r="C29" s="13" t="s">
        <v>17</v>
      </c>
      <c r="D29" s="11" t="s">
        <v>70</v>
      </c>
      <c r="E29" s="13" t="s">
        <v>71</v>
      </c>
      <c r="F29" s="11">
        <v>2026.0</v>
      </c>
      <c r="G29" s="16" t="str">
        <f t="shared" si="1"/>
        <v/>
      </c>
      <c r="H29" s="17"/>
      <c r="I29" s="15"/>
      <c r="J29" s="1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">
        <v>24.0</v>
      </c>
      <c r="B30" s="13" t="s">
        <v>13</v>
      </c>
      <c r="C30" s="13" t="s">
        <v>17</v>
      </c>
      <c r="D30" s="11" t="s">
        <v>72</v>
      </c>
      <c r="E30" s="13" t="s">
        <v>73</v>
      </c>
      <c r="F30" s="11">
        <v>2026.0</v>
      </c>
      <c r="G30" s="16" t="str">
        <f t="shared" si="1"/>
        <v/>
      </c>
      <c r="H30" s="17"/>
      <c r="I30" s="15"/>
      <c r="J30" s="1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>
        <v>25.0</v>
      </c>
      <c r="B31" s="13" t="s">
        <v>13</v>
      </c>
      <c r="C31" s="13" t="s">
        <v>17</v>
      </c>
      <c r="D31" s="11" t="s">
        <v>74</v>
      </c>
      <c r="E31" s="13" t="s">
        <v>75</v>
      </c>
      <c r="F31" s="11">
        <v>2026.0</v>
      </c>
      <c r="G31" s="16" t="str">
        <f t="shared" si="1"/>
        <v/>
      </c>
      <c r="H31" s="17"/>
      <c r="I31" s="15"/>
      <c r="J31" s="1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>
        <v>26.0</v>
      </c>
      <c r="B32" s="13" t="s">
        <v>13</v>
      </c>
      <c r="C32" s="13" t="s">
        <v>17</v>
      </c>
      <c r="D32" s="11" t="s">
        <v>76</v>
      </c>
      <c r="E32" s="13" t="s">
        <v>77</v>
      </c>
      <c r="F32" s="11">
        <v>2026.0</v>
      </c>
      <c r="G32" s="16" t="str">
        <f t="shared" si="1"/>
        <v/>
      </c>
      <c r="H32" s="17"/>
      <c r="I32" s="15"/>
      <c r="J32" s="1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</sheetData>
  <mergeCells count="4">
    <mergeCell ref="A1:J1"/>
    <mergeCell ref="A2:J2"/>
    <mergeCell ref="A3:J3"/>
    <mergeCell ref="G6:H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21.13"/>
    <col customWidth="1" min="4" max="4" width="27.63"/>
    <col customWidth="1" min="5" max="5" width="21.63"/>
    <col customWidth="1" min="7" max="7" width="4.25"/>
    <col customWidth="1" min="8" max="8" width="7.75"/>
    <col customWidth="1" min="9" max="9" width="3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1" t="s">
        <v>13</v>
      </c>
      <c r="C7" s="11" t="s">
        <v>14</v>
      </c>
      <c r="D7" s="11" t="s">
        <v>15</v>
      </c>
      <c r="E7" s="11" t="s">
        <v>16</v>
      </c>
      <c r="F7" s="14"/>
      <c r="G7" s="16" t="str">
        <f>IF(H7&lt;&gt;"","✓","")</f>
        <v>✓</v>
      </c>
      <c r="H7" s="19">
        <v>2025.0</v>
      </c>
      <c r="I7" s="15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</sheetData>
  <mergeCells count="4">
    <mergeCell ref="A1:J1"/>
    <mergeCell ref="A2:J2"/>
    <mergeCell ref="A3:J3"/>
    <mergeCell ref="G6:H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5" max="5" width="18.38"/>
    <col customWidth="1" min="7" max="7" width="4.13"/>
    <col customWidth="1" min="8" max="8" width="5.38"/>
    <col customWidth="1" min="9" max="9" width="3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2" t="s">
        <v>13</v>
      </c>
      <c r="C7" s="12" t="s">
        <v>18</v>
      </c>
      <c r="D7" s="12" t="s">
        <v>19</v>
      </c>
      <c r="E7" s="12" t="s">
        <v>21</v>
      </c>
      <c r="F7" s="15"/>
      <c r="G7" s="16" t="str">
        <f>IF(H7&lt;&gt;"","✓","")</f>
        <v>✓</v>
      </c>
      <c r="H7" s="17">
        <v>2025.0</v>
      </c>
      <c r="I7" s="15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</sheetData>
  <mergeCells count="4">
    <mergeCell ref="A1:J1"/>
    <mergeCell ref="A2:J2"/>
    <mergeCell ref="A3:J3"/>
    <mergeCell ref="G6:H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19.13"/>
    <col customWidth="1" min="5" max="5" width="24.75"/>
    <col customWidth="1" min="7" max="7" width="4.75"/>
    <col customWidth="1" min="8" max="8" width="8.0"/>
    <col customWidth="1" min="9" max="9" width="4.2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2" t="s">
        <v>13</v>
      </c>
      <c r="C7" s="12" t="s">
        <v>78</v>
      </c>
      <c r="D7" s="12" t="s">
        <v>80</v>
      </c>
      <c r="E7" s="12" t="s">
        <v>82</v>
      </c>
      <c r="F7" s="15"/>
      <c r="G7" s="16" t="str">
        <f>IF(H7&lt;&gt;"","✓","")</f>
        <v>✓</v>
      </c>
      <c r="H7" s="17">
        <v>2025.0</v>
      </c>
      <c r="I7" s="15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4">
    <mergeCell ref="A1:J1"/>
    <mergeCell ref="A2:J2"/>
    <mergeCell ref="A3:J3"/>
    <mergeCell ref="G6:H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0.38"/>
    <col customWidth="1" min="5" max="5" width="18.0"/>
    <col customWidth="1" min="7" max="7" width="4.5"/>
    <col customWidth="1" min="8" max="8" width="7.38"/>
    <col customWidth="1" min="9" max="9" width="4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2" t="s">
        <v>13</v>
      </c>
      <c r="C7" s="12" t="s">
        <v>79</v>
      </c>
      <c r="D7" s="12" t="s">
        <v>81</v>
      </c>
      <c r="E7" s="12" t="s">
        <v>83</v>
      </c>
      <c r="F7" s="15"/>
      <c r="G7" s="16" t="str">
        <f>IF(H7&lt;&gt;"","✓","")</f>
        <v>✓</v>
      </c>
      <c r="H7" s="17">
        <v>2025.0</v>
      </c>
      <c r="I7" s="15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4">
    <mergeCell ref="A1:J1"/>
    <mergeCell ref="A2:J2"/>
    <mergeCell ref="A3:J3"/>
    <mergeCell ref="G6:H6"/>
  </mergeCells>
  <drawing r:id="rId1"/>
</worksheet>
</file>