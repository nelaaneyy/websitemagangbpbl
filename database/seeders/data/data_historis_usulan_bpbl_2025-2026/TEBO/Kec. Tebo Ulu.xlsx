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LAU JELMU" sheetId="1" r:id="rId5"/>
    <sheet state="visible" name="BUNGO TANJUNG" sheetId="2" r:id="rId6"/>
    <sheet state="visible" name="JAMBU" sheetId="3" r:id="rId7"/>
    <sheet state="visible" name="PULAU PANJANG" sheetId="4" r:id="rId8"/>
    <sheet state="visible" name="RANTAU LANGKAP" sheetId="5" r:id="rId9"/>
    <sheet state="visible" name="TELUK KASAI RAMBAHAN" sheetId="6" r:id="rId10"/>
    <sheet state="visible" name="TELUK KUALI" sheetId="7" r:id="rId11"/>
    <sheet state="visible" name="ULAK BANJIR RAMBAHAN" sheetId="8" r:id="rId12"/>
  </sheets>
  <definedNames/>
  <calcPr/>
</workbook>
</file>

<file path=xl/sharedStrings.xml><?xml version="1.0" encoding="utf-8"?>
<sst xmlns="http://schemas.openxmlformats.org/spreadsheetml/2006/main" count="551" uniqueCount="244">
  <si>
    <t>REKAPITULASI USULAN DAN REALISASI PENERIMAAN BPBL PROVINSI JAMBI</t>
  </si>
  <si>
    <t>MELALUI KEGIATAN PLN (Sumber Dana APBN)</t>
  </si>
  <si>
    <t>TAHUN 2025-2026</t>
  </si>
  <si>
    <t>Kab/Kota</t>
  </si>
  <si>
    <t>: Kabupaten Tebo</t>
  </si>
  <si>
    <t>NO</t>
  </si>
  <si>
    <t>KECAMATAN</t>
  </si>
  <si>
    <t>DESA/KELURAHAN</t>
  </si>
  <si>
    <t>NAMA</t>
  </si>
  <si>
    <t>NIK</t>
  </si>
  <si>
    <t>Usulan</t>
  </si>
  <si>
    <t>Realisasi</t>
  </si>
  <si>
    <t>Keterangan</t>
  </si>
  <si>
    <t>TEBO ULU</t>
  </si>
  <si>
    <t>PULAU JELMU</t>
  </si>
  <si>
    <t>ALFIZIN</t>
  </si>
  <si>
    <t>1509031410940002</t>
  </si>
  <si>
    <t>BUNGO TANJUNG</t>
  </si>
  <si>
    <t>AGUS ARIADI</t>
  </si>
  <si>
    <t>JAMBU</t>
  </si>
  <si>
    <t>1509090608430002</t>
  </si>
  <si>
    <t>AGUSTRANDA</t>
  </si>
  <si>
    <t>1509032901990002</t>
  </si>
  <si>
    <t>ARIPIDIN</t>
  </si>
  <si>
    <t>1509031311630001</t>
  </si>
  <si>
    <t>PULAU PANJANG</t>
  </si>
  <si>
    <t>AHMAD YANI</t>
  </si>
  <si>
    <t>ASRIANTO IS</t>
  </si>
  <si>
    <t>1509031701620002</t>
  </si>
  <si>
    <t>ASUWANDI</t>
  </si>
  <si>
    <t>1509032112770005</t>
  </si>
  <si>
    <t>HELMI</t>
  </si>
  <si>
    <t>1509030803730003</t>
  </si>
  <si>
    <t>BUDIMAN</t>
  </si>
  <si>
    <t>AINI</t>
  </si>
  <si>
    <t>1509032009810002</t>
  </si>
  <si>
    <t>1509051606860005</t>
  </si>
  <si>
    <t>HENDRI</t>
  </si>
  <si>
    <t>1605070202800003</t>
  </si>
  <si>
    <t>AL-IKHLAS</t>
  </si>
  <si>
    <t>1509031601830004</t>
  </si>
  <si>
    <t>HERIYANTO</t>
  </si>
  <si>
    <t>1509030107830205</t>
  </si>
  <si>
    <t>HADEWI</t>
  </si>
  <si>
    <t>1509030911740002</t>
  </si>
  <si>
    <t>HERLIYATI</t>
  </si>
  <si>
    <t>1509035311950002</t>
  </si>
  <si>
    <t>ASMA</t>
  </si>
  <si>
    <t>1509034803470001</t>
  </si>
  <si>
    <t>ANDRE SYHARU SEPTIANDA</t>
  </si>
  <si>
    <t>1471100304760022</t>
  </si>
  <si>
    <t>JUNARTO</t>
  </si>
  <si>
    <t>1509031905820004</t>
  </si>
  <si>
    <t>HASBULLAH</t>
  </si>
  <si>
    <t>1509030608820006</t>
  </si>
  <si>
    <t>KHOMAIRI</t>
  </si>
  <si>
    <t>1509030107820219</t>
  </si>
  <si>
    <t>ANDRE.S.S</t>
  </si>
  <si>
    <t>BAHARI</t>
  </si>
  <si>
    <t>1509031809980003</t>
  </si>
  <si>
    <t>1509034711460001</t>
  </si>
  <si>
    <t>MUHAMMAD</t>
  </si>
  <si>
    <t>1509031103620001</t>
  </si>
  <si>
    <t>IRAWADI</t>
  </si>
  <si>
    <t>PAHRI</t>
  </si>
  <si>
    <t>1509030107940276</t>
  </si>
  <si>
    <t>1509031206840002</t>
  </si>
  <si>
    <t>ARI YADI</t>
  </si>
  <si>
    <t>1509033105890002</t>
  </si>
  <si>
    <t>BUSRO</t>
  </si>
  <si>
    <t>1509036101500001</t>
  </si>
  <si>
    <t>ROHIM</t>
  </si>
  <si>
    <t>1509030107670139</t>
  </si>
  <si>
    <t>MAHADI</t>
  </si>
  <si>
    <t>RUKIAH</t>
  </si>
  <si>
    <t>1509100304810001</t>
  </si>
  <si>
    <t>1509035602920001</t>
  </si>
  <si>
    <t>BAJURI</t>
  </si>
  <si>
    <t>1509030107460058</t>
  </si>
  <si>
    <t>DESI RATNASARI</t>
  </si>
  <si>
    <t>1509034507960001</t>
  </si>
  <si>
    <t>SAMSINAR</t>
  </si>
  <si>
    <t>1509034607630001</t>
  </si>
  <si>
    <t>DARMAWANSYAH</t>
  </si>
  <si>
    <t>MUHAMMAD HANAFI</t>
  </si>
  <si>
    <t>1509030403730008</t>
  </si>
  <si>
    <t>1509032009890003</t>
  </si>
  <si>
    <t>SJAMRIZAL</t>
  </si>
  <si>
    <t>1509030403780001</t>
  </si>
  <si>
    <t>SOBRI</t>
  </si>
  <si>
    <t>1509030810930001</t>
  </si>
  <si>
    <t>EDI YANTO</t>
  </si>
  <si>
    <t>DEDEB RIANDRA</t>
  </si>
  <si>
    <t>1509031711810001</t>
  </si>
  <si>
    <t>1509031912910002</t>
  </si>
  <si>
    <t>SUDIRMAN</t>
  </si>
  <si>
    <t>1509031804550003</t>
  </si>
  <si>
    <t>MUHAMMAD NASYA'I</t>
  </si>
  <si>
    <t>1509100107890019</t>
  </si>
  <si>
    <t>ZAHARUDIN</t>
  </si>
  <si>
    <t>1509032507560001</t>
  </si>
  <si>
    <t>FIRMANSYAH</t>
  </si>
  <si>
    <t>1509030407810001</t>
  </si>
  <si>
    <t>JASIP</t>
  </si>
  <si>
    <t>1509030101860005</t>
  </si>
  <si>
    <t>ZULKARNAIN</t>
  </si>
  <si>
    <t>1509031211770003</t>
  </si>
  <si>
    <t>PAITO</t>
  </si>
  <si>
    <t>1509031003850007</t>
  </si>
  <si>
    <t>LEHA BAKRI</t>
  </si>
  <si>
    <t>1509036101400001</t>
  </si>
  <si>
    <t>HARIANTO</t>
  </si>
  <si>
    <t>1509031010760004</t>
  </si>
  <si>
    <t>RIKO PUTRA</t>
  </si>
  <si>
    <t>1509032211880001</t>
  </si>
  <si>
    <t>LILI</t>
  </si>
  <si>
    <t>HUDRI</t>
  </si>
  <si>
    <t>1509036110960001</t>
  </si>
  <si>
    <t>1509030810790004</t>
  </si>
  <si>
    <t>RUSDI SAYUTI</t>
  </si>
  <si>
    <t>1509031010850005</t>
  </si>
  <si>
    <t>LUPI ERIN DINANDA</t>
  </si>
  <si>
    <t>1509033011990002</t>
  </si>
  <si>
    <t>MELATI AZWAR</t>
  </si>
  <si>
    <t>1509031712960001</t>
  </si>
  <si>
    <t>SIWAI</t>
  </si>
  <si>
    <t>1509030606560001</t>
  </si>
  <si>
    <t>M.AL PAJRI</t>
  </si>
  <si>
    <t>1509030203870002</t>
  </si>
  <si>
    <t>MIJAN</t>
  </si>
  <si>
    <t>1509032208750002</t>
  </si>
  <si>
    <t>SURIYADI</t>
  </si>
  <si>
    <t>1509031610730003</t>
  </si>
  <si>
    <t>M.SUWANDI</t>
  </si>
  <si>
    <t>NADI</t>
  </si>
  <si>
    <t>1509030406920002</t>
  </si>
  <si>
    <t>MASDIKA ABADI</t>
  </si>
  <si>
    <t>ZAMZAMI</t>
  </si>
  <si>
    <t>1509032009830002</t>
  </si>
  <si>
    <t>1509031112770002</t>
  </si>
  <si>
    <t>RAJANI</t>
  </si>
  <si>
    <t>1509030104870002</t>
  </si>
  <si>
    <t>MUHAMMAD HABIBI</t>
  </si>
  <si>
    <t>1509030211920001</t>
  </si>
  <si>
    <t>SALAMADIN</t>
  </si>
  <si>
    <t>1509030508800001</t>
  </si>
  <si>
    <t>MUHAMMAD HAYADI</t>
  </si>
  <si>
    <t>1509030603790002</t>
  </si>
  <si>
    <t>WEN HARYANTO</t>
  </si>
  <si>
    <t>1509032904850001</t>
  </si>
  <si>
    <t>MUHAMMAD RUSLI</t>
  </si>
  <si>
    <t>1509032612860003</t>
  </si>
  <si>
    <t>YANSARI</t>
  </si>
  <si>
    <t>1509035101840001</t>
  </si>
  <si>
    <t>MUHTAR LOPI</t>
  </si>
  <si>
    <t>1509030306840002</t>
  </si>
  <si>
    <t>YUSNA</t>
  </si>
  <si>
    <t>1509032608960006</t>
  </si>
  <si>
    <t>MUSDA RILLA</t>
  </si>
  <si>
    <t>1509036401010003</t>
  </si>
  <si>
    <t>SUKARMAN</t>
  </si>
  <si>
    <t>1509030604690003</t>
  </si>
  <si>
    <t>TON NIAH</t>
  </si>
  <si>
    <t>1509037112550001</t>
  </si>
  <si>
    <t>YUSRIATI</t>
  </si>
  <si>
    <t>1509030604580001</t>
  </si>
  <si>
    <t>ZAINAL ABIDIN</t>
  </si>
  <si>
    <t>1509030308730002</t>
  </si>
  <si>
    <t>RANTAU LANGKAP</t>
  </si>
  <si>
    <t>HERIYANSYAH</t>
  </si>
  <si>
    <t>1509030311900003</t>
  </si>
  <si>
    <t>M. JUBAIDI</t>
  </si>
  <si>
    <t>1509030610790001</t>
  </si>
  <si>
    <t>MUHAMMAD SAMAN</t>
  </si>
  <si>
    <t>1509031010740001</t>
  </si>
  <si>
    <t>MULHANI</t>
  </si>
  <si>
    <t>1509034105780005</t>
  </si>
  <si>
    <t>NURDIN</t>
  </si>
  <si>
    <t>1509030508630001</t>
  </si>
  <si>
    <t>RUSLAN ABD GANI</t>
  </si>
  <si>
    <t>1509030105730003</t>
  </si>
  <si>
    <t>SALMAH</t>
  </si>
  <si>
    <t>1509034107550131</t>
  </si>
  <si>
    <t>SITI PAHMI</t>
  </si>
  <si>
    <t>1509036101660001</t>
  </si>
  <si>
    <t>SITI PIAH</t>
  </si>
  <si>
    <t>1509034107370023</t>
  </si>
  <si>
    <t>TELUK KASAI RAMBAHAN</t>
  </si>
  <si>
    <t>ABIDIN</t>
  </si>
  <si>
    <t>1509031908570003</t>
  </si>
  <si>
    <t>AGUSTAM</t>
  </si>
  <si>
    <t>1509030608910009</t>
  </si>
  <si>
    <t>BAIDOLLAH</t>
  </si>
  <si>
    <t>1509031810990001</t>
  </si>
  <si>
    <t>BURHANUDIN</t>
  </si>
  <si>
    <t>1509032307890002</t>
  </si>
  <si>
    <t>HERI</t>
  </si>
  <si>
    <t>1509031407860005</t>
  </si>
  <si>
    <t>JONI</t>
  </si>
  <si>
    <t>1509030801900001</t>
  </si>
  <si>
    <t>MAISARAH</t>
  </si>
  <si>
    <t>1509035501520001</t>
  </si>
  <si>
    <t>NOBRI</t>
  </si>
  <si>
    <t>1509034611369001</t>
  </si>
  <si>
    <t>SAIPUL B</t>
  </si>
  <si>
    <t>1509031207730001</t>
  </si>
  <si>
    <t>SITI MARYAM</t>
  </si>
  <si>
    <t>1509034901530001</t>
  </si>
  <si>
    <t>TELUK KEMBANG JAMBU</t>
  </si>
  <si>
    <t>MAI</t>
  </si>
  <si>
    <t>1509035003580002</t>
  </si>
  <si>
    <t>NURGAYA</t>
  </si>
  <si>
    <t>1509034105620002</t>
  </si>
  <si>
    <t>RIFA’I</t>
  </si>
  <si>
    <t>1509031008500002</t>
  </si>
  <si>
    <t>SAMIRI</t>
  </si>
  <si>
    <t>1509100310750001</t>
  </si>
  <si>
    <t>TELUK KUALI</t>
  </si>
  <si>
    <t>AHMAD ZIAT</t>
  </si>
  <si>
    <t>1509031202660006</t>
  </si>
  <si>
    <t>BADAWI</t>
  </si>
  <si>
    <t>1509033003770001</t>
  </si>
  <si>
    <t>DEMI SUSANTI</t>
  </si>
  <si>
    <t>1509034808930001</t>
  </si>
  <si>
    <t>M. ARIF KUSUMA</t>
  </si>
  <si>
    <t>1509031010790013</t>
  </si>
  <si>
    <t>MUHAMMAD NUR</t>
  </si>
  <si>
    <t>1509031403770001</t>
  </si>
  <si>
    <t>MUHAMMAD YANI</t>
  </si>
  <si>
    <t>MUHTAR</t>
  </si>
  <si>
    <t>1509031006820006</t>
  </si>
  <si>
    <t>RIAN FEBRIADI</t>
  </si>
  <si>
    <t>1509032802940004</t>
  </si>
  <si>
    <t>SAMSU RIZAL</t>
  </si>
  <si>
    <t>WARSO</t>
  </si>
  <si>
    <t>1509030107630185</t>
  </si>
  <si>
    <t>YOSRI</t>
  </si>
  <si>
    <t>1506021511830008</t>
  </si>
  <si>
    <t>YUSMALENA</t>
  </si>
  <si>
    <t>ULAK BANJIR RAMBAHAN</t>
  </si>
  <si>
    <t>SUGIMAN</t>
  </si>
  <si>
    <t>1509030106510001</t>
  </si>
  <si>
    <t>MUHAMMAD ARAFIK</t>
  </si>
  <si>
    <t>1509031410000002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</si>
</sst>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2" fontId="1" numFmtId="0" xfId="0" applyAlignment="1" applyBorder="1" applyFill="1" applyFont="1">
      <alignment horizontal="center" vertical="bottom"/>
    </xf>
    <xf borderId="4" fillId="0" fontId="4" numFmtId="0" xfId="0" applyBorder="1" applyFont="1"/>
    <xf borderId="5" fillId="2" fontId="2" numFmtId="0" xfId="0" applyAlignment="1" applyBorder="1" applyFill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vertical="bottom"/>
    </xf>
    <xf borderId="6" fillId="0" fontId="3" numFmtId="0" xfId="0" applyAlignment="1" applyBorder="1" applyFont="1">
      <alignment horizontal="right" readingOrder="0" shrinkToFit="0" vertical="bottom" wrapText="0"/>
    </xf>
    <xf borderId="6" fillId="0" fontId="2" numFmtId="0" xfId="0" applyAlignment="1" applyBorder="1" applyFont="1">
      <alignment vertical="bottom"/>
    </xf>
    <xf borderId="6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21.25"/>
    <col customWidth="1" min="4" max="4" width="23.5"/>
    <col customWidth="1" min="5" max="5" width="22.13"/>
    <col customWidth="1" min="7" max="7" width="3.5"/>
    <col customWidth="1" min="8" max="8" width="6.88"/>
    <col customWidth="1" min="9" max="9" width="3.38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>
        <v>1.0</v>
      </c>
      <c r="B7" s="11" t="s">
        <v>13</v>
      </c>
      <c r="C7" s="11" t="s">
        <v>14</v>
      </c>
      <c r="D7" s="12" t="s">
        <v>15</v>
      </c>
      <c r="E7" s="11" t="s">
        <v>16</v>
      </c>
      <c r="F7" s="12">
        <v>2025.0</v>
      </c>
      <c r="G7" s="14" t="str">
        <f t="shared" ref="G7:G26" si="1">IF(H7&lt;&gt;"","✓","")</f>
        <v>✓</v>
      </c>
      <c r="H7" s="15">
        <v>2025.0</v>
      </c>
      <c r="I7" s="11">
        <v>1.0</v>
      </c>
      <c r="J7" s="1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>
        <v>2.0</v>
      </c>
      <c r="B8" s="11" t="s">
        <v>13</v>
      </c>
      <c r="C8" s="11" t="s">
        <v>14</v>
      </c>
      <c r="D8" s="12" t="s">
        <v>23</v>
      </c>
      <c r="E8" s="11" t="s">
        <v>24</v>
      </c>
      <c r="F8" s="12">
        <v>2025.0</v>
      </c>
      <c r="G8" s="14" t="str">
        <f t="shared" si="1"/>
        <v/>
      </c>
      <c r="H8" s="17"/>
      <c r="I8" s="18"/>
      <c r="J8" s="1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">
        <v>3.0</v>
      </c>
      <c r="B9" s="11" t="s">
        <v>13</v>
      </c>
      <c r="C9" s="11" t="s">
        <v>14</v>
      </c>
      <c r="D9" s="12" t="s">
        <v>27</v>
      </c>
      <c r="E9" s="11" t="s">
        <v>28</v>
      </c>
      <c r="F9" s="12">
        <v>2025.0</v>
      </c>
      <c r="G9" s="14" t="str">
        <f t="shared" si="1"/>
        <v/>
      </c>
      <c r="H9" s="17"/>
      <c r="I9" s="18"/>
      <c r="J9" s="16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>
        <v>4.0</v>
      </c>
      <c r="B10" s="11" t="s">
        <v>13</v>
      </c>
      <c r="C10" s="11" t="s">
        <v>14</v>
      </c>
      <c r="D10" s="12" t="s">
        <v>29</v>
      </c>
      <c r="E10" s="11" t="s">
        <v>30</v>
      </c>
      <c r="F10" s="12">
        <v>2025.0</v>
      </c>
      <c r="G10" s="14" t="str">
        <f t="shared" si="1"/>
        <v>✓</v>
      </c>
      <c r="H10" s="15">
        <v>2025.0</v>
      </c>
      <c r="I10" s="11">
        <v>1.0</v>
      </c>
      <c r="J10" s="16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>
        <v>5.0</v>
      </c>
      <c r="B11" s="11" t="s">
        <v>13</v>
      </c>
      <c r="C11" s="11" t="s">
        <v>14</v>
      </c>
      <c r="D11" s="12" t="s">
        <v>31</v>
      </c>
      <c r="E11" s="11" t="s">
        <v>32</v>
      </c>
      <c r="F11" s="12">
        <v>2025.0</v>
      </c>
      <c r="G11" s="14" t="str">
        <f t="shared" si="1"/>
        <v>✓</v>
      </c>
      <c r="H11" s="15">
        <v>2025.0</v>
      </c>
      <c r="I11" s="11">
        <v>1.0</v>
      </c>
      <c r="J11" s="1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>
        <v>6.0</v>
      </c>
      <c r="B12" s="11" t="s">
        <v>13</v>
      </c>
      <c r="C12" s="11" t="s">
        <v>14</v>
      </c>
      <c r="D12" s="12" t="s">
        <v>37</v>
      </c>
      <c r="E12" s="11" t="s">
        <v>38</v>
      </c>
      <c r="F12" s="12">
        <v>2025.0</v>
      </c>
      <c r="G12" s="14" t="str">
        <f t="shared" si="1"/>
        <v>✓</v>
      </c>
      <c r="H12" s="15">
        <v>2025.0</v>
      </c>
      <c r="I12" s="11">
        <v>1.0</v>
      </c>
      <c r="J12" s="1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>
        <v>7.0</v>
      </c>
      <c r="B13" s="11" t="s">
        <v>13</v>
      </c>
      <c r="C13" s="11" t="s">
        <v>14</v>
      </c>
      <c r="D13" s="12" t="s">
        <v>41</v>
      </c>
      <c r="E13" s="11" t="s">
        <v>42</v>
      </c>
      <c r="F13" s="12">
        <v>2025.0</v>
      </c>
      <c r="G13" s="14" t="str">
        <f t="shared" si="1"/>
        <v>✓</v>
      </c>
      <c r="H13" s="15">
        <v>2025.0</v>
      </c>
      <c r="I13" s="11">
        <v>1.0</v>
      </c>
      <c r="J13" s="1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>
        <v>8.0</v>
      </c>
      <c r="B14" s="11" t="s">
        <v>13</v>
      </c>
      <c r="C14" s="11" t="s">
        <v>14</v>
      </c>
      <c r="D14" s="12" t="s">
        <v>45</v>
      </c>
      <c r="E14" s="11" t="s">
        <v>46</v>
      </c>
      <c r="F14" s="12">
        <v>2025.0</v>
      </c>
      <c r="G14" s="14" t="str">
        <f t="shared" si="1"/>
        <v/>
      </c>
      <c r="H14" s="17"/>
      <c r="I14" s="18"/>
      <c r="J14" s="1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>
        <v>9.0</v>
      </c>
      <c r="B15" s="11" t="s">
        <v>13</v>
      </c>
      <c r="C15" s="11" t="s">
        <v>14</v>
      </c>
      <c r="D15" s="12" t="s">
        <v>51</v>
      </c>
      <c r="E15" s="11" t="s">
        <v>52</v>
      </c>
      <c r="F15" s="12">
        <v>2025.0</v>
      </c>
      <c r="G15" s="14" t="str">
        <f t="shared" si="1"/>
        <v/>
      </c>
      <c r="H15" s="17"/>
      <c r="I15" s="18"/>
      <c r="J15" s="16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">
        <v>10.0</v>
      </c>
      <c r="B16" s="11" t="s">
        <v>13</v>
      </c>
      <c r="C16" s="11" t="s">
        <v>14</v>
      </c>
      <c r="D16" s="12" t="s">
        <v>55</v>
      </c>
      <c r="E16" s="11" t="s">
        <v>56</v>
      </c>
      <c r="F16" s="12">
        <v>2025.0</v>
      </c>
      <c r="G16" s="14" t="str">
        <f t="shared" si="1"/>
        <v/>
      </c>
      <c r="H16" s="17"/>
      <c r="I16" s="18"/>
      <c r="J16" s="1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">
        <v>11.0</v>
      </c>
      <c r="B17" s="11" t="s">
        <v>13</v>
      </c>
      <c r="C17" s="11" t="s">
        <v>14</v>
      </c>
      <c r="D17" s="12" t="s">
        <v>61</v>
      </c>
      <c r="E17" s="11" t="s">
        <v>62</v>
      </c>
      <c r="F17" s="12">
        <v>2025.0</v>
      </c>
      <c r="G17" s="14" t="str">
        <f t="shared" si="1"/>
        <v/>
      </c>
      <c r="H17" s="17"/>
      <c r="I17" s="18"/>
      <c r="J17" s="16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">
        <v>12.0</v>
      </c>
      <c r="B18" s="11" t="s">
        <v>13</v>
      </c>
      <c r="C18" s="11" t="s">
        <v>14</v>
      </c>
      <c r="D18" s="12" t="s">
        <v>64</v>
      </c>
      <c r="E18" s="11" t="s">
        <v>66</v>
      </c>
      <c r="F18" s="12">
        <v>2025.0</v>
      </c>
      <c r="G18" s="14" t="str">
        <f t="shared" si="1"/>
        <v/>
      </c>
      <c r="H18" s="17"/>
      <c r="I18" s="18"/>
      <c r="J18" s="16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">
        <v>13.0</v>
      </c>
      <c r="B19" s="11" t="s">
        <v>13</v>
      </c>
      <c r="C19" s="11" t="s">
        <v>14</v>
      </c>
      <c r="D19" s="12" t="s">
        <v>71</v>
      </c>
      <c r="E19" s="11" t="s">
        <v>72</v>
      </c>
      <c r="F19" s="12">
        <v>2025.0</v>
      </c>
      <c r="G19" s="14" t="str">
        <f t="shared" si="1"/>
        <v/>
      </c>
      <c r="H19" s="17"/>
      <c r="I19" s="18"/>
      <c r="J19" s="16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0">
        <v>14.0</v>
      </c>
      <c r="B20" s="11" t="s">
        <v>13</v>
      </c>
      <c r="C20" s="11" t="s">
        <v>14</v>
      </c>
      <c r="D20" s="12" t="s">
        <v>74</v>
      </c>
      <c r="E20" s="11" t="s">
        <v>76</v>
      </c>
      <c r="F20" s="12">
        <v>2025.0</v>
      </c>
      <c r="G20" s="14" t="str">
        <f t="shared" si="1"/>
        <v/>
      </c>
      <c r="H20" s="17"/>
      <c r="I20" s="18"/>
      <c r="J20" s="16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">
        <v>15.0</v>
      </c>
      <c r="B21" s="11" t="s">
        <v>13</v>
      </c>
      <c r="C21" s="11" t="s">
        <v>14</v>
      </c>
      <c r="D21" s="12" t="s">
        <v>81</v>
      </c>
      <c r="E21" s="11" t="s">
        <v>82</v>
      </c>
      <c r="F21" s="12">
        <v>2025.0</v>
      </c>
      <c r="G21" s="14" t="str">
        <f t="shared" si="1"/>
        <v/>
      </c>
      <c r="H21" s="17"/>
      <c r="I21" s="18"/>
      <c r="J21" s="16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">
        <v>16.0</v>
      </c>
      <c r="B22" s="11" t="s">
        <v>13</v>
      </c>
      <c r="C22" s="11" t="s">
        <v>14</v>
      </c>
      <c r="D22" s="12" t="s">
        <v>87</v>
      </c>
      <c r="E22" s="11" t="s">
        <v>88</v>
      </c>
      <c r="F22" s="12">
        <v>2025.0</v>
      </c>
      <c r="G22" s="14" t="str">
        <f t="shared" si="1"/>
        <v/>
      </c>
      <c r="H22" s="17"/>
      <c r="I22" s="18"/>
      <c r="J22" s="16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0">
        <v>17.0</v>
      </c>
      <c r="B23" s="11" t="s">
        <v>13</v>
      </c>
      <c r="C23" s="11" t="s">
        <v>14</v>
      </c>
      <c r="D23" s="12" t="s">
        <v>89</v>
      </c>
      <c r="E23" s="11" t="s">
        <v>90</v>
      </c>
      <c r="F23" s="12">
        <v>2025.0</v>
      </c>
      <c r="G23" s="14" t="str">
        <f t="shared" si="1"/>
        <v>✓</v>
      </c>
      <c r="H23" s="15">
        <v>2025.0</v>
      </c>
      <c r="I23" s="11">
        <v>1.0</v>
      </c>
      <c r="J23" s="16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0">
        <v>18.0</v>
      </c>
      <c r="B24" s="11" t="s">
        <v>13</v>
      </c>
      <c r="C24" s="11" t="s">
        <v>14</v>
      </c>
      <c r="D24" s="12" t="s">
        <v>95</v>
      </c>
      <c r="E24" s="11" t="s">
        <v>96</v>
      </c>
      <c r="F24" s="12">
        <v>2025.0</v>
      </c>
      <c r="G24" s="14" t="str">
        <f t="shared" si="1"/>
        <v/>
      </c>
      <c r="H24" s="17"/>
      <c r="I24" s="18"/>
      <c r="J24" s="16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0">
        <v>19.0</v>
      </c>
      <c r="B25" s="11" t="s">
        <v>13</v>
      </c>
      <c r="C25" s="11" t="s">
        <v>14</v>
      </c>
      <c r="D25" s="12" t="s">
        <v>99</v>
      </c>
      <c r="E25" s="11" t="s">
        <v>100</v>
      </c>
      <c r="F25" s="12">
        <v>2025.0</v>
      </c>
      <c r="G25" s="14" t="str">
        <f t="shared" si="1"/>
        <v/>
      </c>
      <c r="H25" s="17"/>
      <c r="I25" s="18"/>
      <c r="J25" s="16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0">
        <v>20.0</v>
      </c>
      <c r="B26" s="11" t="s">
        <v>13</v>
      </c>
      <c r="C26" s="11" t="s">
        <v>14</v>
      </c>
      <c r="D26" s="12" t="s">
        <v>105</v>
      </c>
      <c r="E26" s="11" t="s">
        <v>106</v>
      </c>
      <c r="F26" s="12">
        <v>2025.0</v>
      </c>
      <c r="G26" s="14" t="str">
        <f t="shared" si="1"/>
        <v>✓</v>
      </c>
      <c r="H26" s="15">
        <v>2025.0</v>
      </c>
      <c r="I26" s="11">
        <v>1.0</v>
      </c>
      <c r="J26" s="16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</sheetData>
  <mergeCells count="4">
    <mergeCell ref="A1:J1"/>
    <mergeCell ref="A2:J2"/>
    <mergeCell ref="A3:J3"/>
    <mergeCell ref="G6:H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21.25"/>
    <col customWidth="1" min="4" max="4" width="23.5"/>
    <col customWidth="1" min="5" max="5" width="22.13"/>
    <col customWidth="1" min="7" max="7" width="3.5"/>
    <col customWidth="1" min="8" max="8" width="6.88"/>
    <col customWidth="1" min="9" max="9" width="3.38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1.0</v>
      </c>
      <c r="B7" s="11" t="s">
        <v>13</v>
      </c>
      <c r="C7" s="11" t="s">
        <v>17</v>
      </c>
      <c r="D7" s="11" t="s">
        <v>18</v>
      </c>
      <c r="E7" s="11" t="s">
        <v>20</v>
      </c>
      <c r="F7" s="12">
        <v>2026.0</v>
      </c>
      <c r="G7" s="14" t="str">
        <f t="shared" ref="G7:G20" si="1">IF(H7&lt;&gt;"","✓","")</f>
        <v/>
      </c>
      <c r="H7" s="17"/>
      <c r="I7" s="18"/>
      <c r="J7" s="1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2.0</v>
      </c>
      <c r="B8" s="11" t="s">
        <v>13</v>
      </c>
      <c r="C8" s="11" t="s">
        <v>17</v>
      </c>
      <c r="D8" s="11" t="s">
        <v>33</v>
      </c>
      <c r="E8" s="11" t="s">
        <v>35</v>
      </c>
      <c r="F8" s="12">
        <v>2026.0</v>
      </c>
      <c r="G8" s="14" t="str">
        <f t="shared" si="1"/>
        <v/>
      </c>
      <c r="H8" s="17"/>
      <c r="I8" s="18"/>
      <c r="J8" s="1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3.0</v>
      </c>
      <c r="B9" s="11" t="s">
        <v>13</v>
      </c>
      <c r="C9" s="11" t="s">
        <v>17</v>
      </c>
      <c r="D9" s="11" t="s">
        <v>43</v>
      </c>
      <c r="E9" s="11" t="s">
        <v>44</v>
      </c>
      <c r="F9" s="12">
        <v>2026.0</v>
      </c>
      <c r="G9" s="14" t="str">
        <f t="shared" si="1"/>
        <v/>
      </c>
      <c r="H9" s="17"/>
      <c r="I9" s="18"/>
      <c r="J9" s="16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4.0</v>
      </c>
      <c r="B10" s="11" t="s">
        <v>13</v>
      </c>
      <c r="C10" s="11" t="s">
        <v>17</v>
      </c>
      <c r="D10" s="11" t="s">
        <v>53</v>
      </c>
      <c r="E10" s="11" t="s">
        <v>54</v>
      </c>
      <c r="F10" s="12">
        <v>2026.0</v>
      </c>
      <c r="G10" s="14" t="str">
        <f t="shared" si="1"/>
        <v/>
      </c>
      <c r="H10" s="17"/>
      <c r="I10" s="18"/>
      <c r="J10" s="16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5.0</v>
      </c>
      <c r="B11" s="11" t="s">
        <v>13</v>
      </c>
      <c r="C11" s="11" t="s">
        <v>17</v>
      </c>
      <c r="D11" s="11" t="s">
        <v>63</v>
      </c>
      <c r="E11" s="11" t="s">
        <v>65</v>
      </c>
      <c r="F11" s="12">
        <v>2026.0</v>
      </c>
      <c r="G11" s="14" t="str">
        <f t="shared" si="1"/>
        <v/>
      </c>
      <c r="H11" s="17"/>
      <c r="I11" s="18"/>
      <c r="J11" s="1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6.0</v>
      </c>
      <c r="B12" s="11" t="s">
        <v>13</v>
      </c>
      <c r="C12" s="11" t="s">
        <v>17</v>
      </c>
      <c r="D12" s="11" t="s">
        <v>73</v>
      </c>
      <c r="E12" s="11" t="s">
        <v>75</v>
      </c>
      <c r="F12" s="12">
        <v>2026.0</v>
      </c>
      <c r="G12" s="14" t="str">
        <f t="shared" si="1"/>
        <v/>
      </c>
      <c r="H12" s="17"/>
      <c r="I12" s="18"/>
      <c r="J12" s="1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7.0</v>
      </c>
      <c r="B13" s="11" t="s">
        <v>13</v>
      </c>
      <c r="C13" s="11" t="s">
        <v>17</v>
      </c>
      <c r="D13" s="11" t="s">
        <v>84</v>
      </c>
      <c r="E13" s="11" t="s">
        <v>86</v>
      </c>
      <c r="F13" s="12">
        <v>2026.0</v>
      </c>
      <c r="G13" s="14" t="str">
        <f t="shared" si="1"/>
        <v/>
      </c>
      <c r="H13" s="17"/>
      <c r="I13" s="18"/>
      <c r="J13" s="1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8.0</v>
      </c>
      <c r="B14" s="11" t="s">
        <v>13</v>
      </c>
      <c r="C14" s="11" t="s">
        <v>17</v>
      </c>
      <c r="D14" s="11" t="s">
        <v>97</v>
      </c>
      <c r="E14" s="11" t="s">
        <v>98</v>
      </c>
      <c r="F14" s="12">
        <v>2026.0</v>
      </c>
      <c r="G14" s="14" t="str">
        <f t="shared" si="1"/>
        <v/>
      </c>
      <c r="H14" s="17"/>
      <c r="I14" s="18"/>
      <c r="J14" s="1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9.0</v>
      </c>
      <c r="B15" s="11" t="s">
        <v>13</v>
      </c>
      <c r="C15" s="11" t="s">
        <v>17</v>
      </c>
      <c r="D15" s="11" t="s">
        <v>107</v>
      </c>
      <c r="E15" s="11" t="s">
        <v>108</v>
      </c>
      <c r="F15" s="12">
        <v>2026.0</v>
      </c>
      <c r="G15" s="14" t="str">
        <f t="shared" si="1"/>
        <v/>
      </c>
      <c r="H15" s="17"/>
      <c r="I15" s="18"/>
      <c r="J15" s="16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10.0</v>
      </c>
      <c r="B16" s="11" t="s">
        <v>13</v>
      </c>
      <c r="C16" s="11" t="s">
        <v>17</v>
      </c>
      <c r="D16" s="11" t="s">
        <v>113</v>
      </c>
      <c r="E16" s="11" t="s">
        <v>114</v>
      </c>
      <c r="F16" s="12">
        <v>2026.0</v>
      </c>
      <c r="G16" s="14" t="str">
        <f t="shared" si="1"/>
        <v/>
      </c>
      <c r="H16" s="17"/>
      <c r="I16" s="18"/>
      <c r="J16" s="1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11.0</v>
      </c>
      <c r="B17" s="11" t="s">
        <v>13</v>
      </c>
      <c r="C17" s="11" t="s">
        <v>17</v>
      </c>
      <c r="D17" s="11" t="s">
        <v>119</v>
      </c>
      <c r="E17" s="11" t="s">
        <v>120</v>
      </c>
      <c r="F17" s="12">
        <v>2026.0</v>
      </c>
      <c r="G17" s="14" t="str">
        <f t="shared" si="1"/>
        <v/>
      </c>
      <c r="H17" s="17"/>
      <c r="I17" s="18"/>
      <c r="J17" s="16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12.0</v>
      </c>
      <c r="B18" s="11" t="s">
        <v>13</v>
      </c>
      <c r="C18" s="11" t="s">
        <v>17</v>
      </c>
      <c r="D18" s="11" t="s">
        <v>125</v>
      </c>
      <c r="E18" s="11" t="s">
        <v>126</v>
      </c>
      <c r="F18" s="12">
        <v>2026.0</v>
      </c>
      <c r="G18" s="14" t="str">
        <f t="shared" si="1"/>
        <v/>
      </c>
      <c r="H18" s="17"/>
      <c r="I18" s="18"/>
      <c r="J18" s="16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13.0</v>
      </c>
      <c r="B19" s="11" t="s">
        <v>13</v>
      </c>
      <c r="C19" s="11" t="s">
        <v>17</v>
      </c>
      <c r="D19" s="11" t="s">
        <v>131</v>
      </c>
      <c r="E19" s="11" t="s">
        <v>132</v>
      </c>
      <c r="F19" s="12">
        <v>2026.0</v>
      </c>
      <c r="G19" s="14" t="str">
        <f t="shared" si="1"/>
        <v/>
      </c>
      <c r="H19" s="17"/>
      <c r="I19" s="18"/>
      <c r="J19" s="16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14.0</v>
      </c>
      <c r="B20" s="11" t="s">
        <v>13</v>
      </c>
      <c r="C20" s="11" t="s">
        <v>17</v>
      </c>
      <c r="D20" s="11" t="s">
        <v>137</v>
      </c>
      <c r="E20" s="11" t="s">
        <v>139</v>
      </c>
      <c r="F20" s="12">
        <v>2026.0</v>
      </c>
      <c r="G20" s="14" t="str">
        <f t="shared" si="1"/>
        <v/>
      </c>
      <c r="H20" s="17"/>
      <c r="I20" s="18"/>
      <c r="J20" s="16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</sheetData>
  <mergeCells count="4">
    <mergeCell ref="A1:J1"/>
    <mergeCell ref="A2:J2"/>
    <mergeCell ref="A3:J3"/>
    <mergeCell ref="G6:H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21.25"/>
    <col customWidth="1" min="4" max="4" width="23.5"/>
    <col customWidth="1" min="5" max="5" width="22.13"/>
    <col customWidth="1" min="7" max="7" width="3.5"/>
    <col customWidth="1" min="8" max="8" width="6.88"/>
    <col customWidth="1" min="9" max="9" width="3.38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1.0</v>
      </c>
      <c r="B7" s="11" t="s">
        <v>13</v>
      </c>
      <c r="C7" s="11" t="s">
        <v>19</v>
      </c>
      <c r="D7" s="11" t="s">
        <v>21</v>
      </c>
      <c r="E7" s="11" t="s">
        <v>22</v>
      </c>
      <c r="F7" s="12">
        <v>2026.0</v>
      </c>
      <c r="G7" s="14" t="str">
        <f t="shared" ref="G7:G24" si="1">IF(H7&lt;&gt;"","✓","")</f>
        <v/>
      </c>
      <c r="H7" s="17"/>
      <c r="I7" s="18"/>
      <c r="J7" s="1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2.0</v>
      </c>
      <c r="B8" s="11" t="s">
        <v>13</v>
      </c>
      <c r="C8" s="11" t="s">
        <v>19</v>
      </c>
      <c r="D8" s="11" t="s">
        <v>34</v>
      </c>
      <c r="E8" s="11" t="s">
        <v>36</v>
      </c>
      <c r="F8" s="12">
        <v>2026.0</v>
      </c>
      <c r="G8" s="14" t="str">
        <f t="shared" si="1"/>
        <v/>
      </c>
      <c r="H8" s="17"/>
      <c r="I8" s="18"/>
      <c r="J8" s="1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3.0</v>
      </c>
      <c r="B9" s="11" t="s">
        <v>13</v>
      </c>
      <c r="C9" s="11" t="s">
        <v>19</v>
      </c>
      <c r="D9" s="11" t="s">
        <v>47</v>
      </c>
      <c r="E9" s="11" t="s">
        <v>48</v>
      </c>
      <c r="F9" s="12">
        <v>2026.0</v>
      </c>
      <c r="G9" s="14" t="str">
        <f t="shared" si="1"/>
        <v/>
      </c>
      <c r="H9" s="17"/>
      <c r="I9" s="18"/>
      <c r="J9" s="16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4.0</v>
      </c>
      <c r="B10" s="11" t="s">
        <v>13</v>
      </c>
      <c r="C10" s="11" t="s">
        <v>19</v>
      </c>
      <c r="D10" s="11" t="s">
        <v>58</v>
      </c>
      <c r="E10" s="11" t="s">
        <v>60</v>
      </c>
      <c r="F10" s="12">
        <v>2026.0</v>
      </c>
      <c r="G10" s="14" t="str">
        <f t="shared" si="1"/>
        <v/>
      </c>
      <c r="H10" s="17"/>
      <c r="I10" s="18"/>
      <c r="J10" s="16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5.0</v>
      </c>
      <c r="B11" s="11" t="s">
        <v>13</v>
      </c>
      <c r="C11" s="11" t="s">
        <v>19</v>
      </c>
      <c r="D11" s="11" t="s">
        <v>69</v>
      </c>
      <c r="E11" s="11" t="s">
        <v>70</v>
      </c>
      <c r="F11" s="12">
        <v>2026.0</v>
      </c>
      <c r="G11" s="14" t="str">
        <f t="shared" si="1"/>
        <v/>
      </c>
      <c r="H11" s="17"/>
      <c r="I11" s="18"/>
      <c r="J11" s="1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6.0</v>
      </c>
      <c r="B12" s="11" t="s">
        <v>13</v>
      </c>
      <c r="C12" s="11" t="s">
        <v>19</v>
      </c>
      <c r="D12" s="11" t="s">
        <v>79</v>
      </c>
      <c r="E12" s="11" t="s">
        <v>80</v>
      </c>
      <c r="F12" s="12">
        <v>2026.0</v>
      </c>
      <c r="G12" s="14" t="str">
        <f t="shared" si="1"/>
        <v/>
      </c>
      <c r="H12" s="17"/>
      <c r="I12" s="18"/>
      <c r="J12" s="1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7.0</v>
      </c>
      <c r="B13" s="11" t="s">
        <v>13</v>
      </c>
      <c r="C13" s="11" t="s">
        <v>19</v>
      </c>
      <c r="D13" s="11" t="s">
        <v>91</v>
      </c>
      <c r="E13" s="11" t="s">
        <v>93</v>
      </c>
      <c r="F13" s="12">
        <v>2026.0</v>
      </c>
      <c r="G13" s="14" t="str">
        <f t="shared" si="1"/>
        <v/>
      </c>
      <c r="H13" s="17"/>
      <c r="I13" s="18"/>
      <c r="J13" s="1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8.0</v>
      </c>
      <c r="B14" s="11" t="s">
        <v>13</v>
      </c>
      <c r="C14" s="11" t="s">
        <v>19</v>
      </c>
      <c r="D14" s="11" t="s">
        <v>103</v>
      </c>
      <c r="E14" s="11" t="s">
        <v>104</v>
      </c>
      <c r="F14" s="12">
        <v>2026.0</v>
      </c>
      <c r="G14" s="14" t="str">
        <f t="shared" si="1"/>
        <v/>
      </c>
      <c r="H14" s="17"/>
      <c r="I14" s="18"/>
      <c r="J14" s="1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9.0</v>
      </c>
      <c r="B15" s="11" t="s">
        <v>13</v>
      </c>
      <c r="C15" s="11" t="s">
        <v>19</v>
      </c>
      <c r="D15" s="11" t="s">
        <v>109</v>
      </c>
      <c r="E15" s="11" t="s">
        <v>110</v>
      </c>
      <c r="F15" s="12">
        <v>2026.0</v>
      </c>
      <c r="G15" s="14" t="str">
        <f t="shared" si="1"/>
        <v/>
      </c>
      <c r="H15" s="17"/>
      <c r="I15" s="18"/>
      <c r="J15" s="16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10.0</v>
      </c>
      <c r="B16" s="11" t="s">
        <v>13</v>
      </c>
      <c r="C16" s="11" t="s">
        <v>19</v>
      </c>
      <c r="D16" s="11" t="s">
        <v>115</v>
      </c>
      <c r="E16" s="11" t="s">
        <v>117</v>
      </c>
      <c r="F16" s="12">
        <v>2026.0</v>
      </c>
      <c r="G16" s="14" t="str">
        <f t="shared" si="1"/>
        <v/>
      </c>
      <c r="H16" s="17"/>
      <c r="I16" s="18"/>
      <c r="J16" s="1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11.0</v>
      </c>
      <c r="B17" s="11" t="s">
        <v>13</v>
      </c>
      <c r="C17" s="11" t="s">
        <v>19</v>
      </c>
      <c r="D17" s="11" t="s">
        <v>123</v>
      </c>
      <c r="E17" s="11" t="s">
        <v>124</v>
      </c>
      <c r="F17" s="12">
        <v>2026.0</v>
      </c>
      <c r="G17" s="14" t="str">
        <f t="shared" si="1"/>
        <v/>
      </c>
      <c r="H17" s="17"/>
      <c r="I17" s="18"/>
      <c r="J17" s="16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12.0</v>
      </c>
      <c r="B18" s="11" t="s">
        <v>13</v>
      </c>
      <c r="C18" s="11" t="s">
        <v>19</v>
      </c>
      <c r="D18" s="11" t="s">
        <v>129</v>
      </c>
      <c r="E18" s="11" t="s">
        <v>130</v>
      </c>
      <c r="F18" s="12">
        <v>2026.0</v>
      </c>
      <c r="G18" s="14" t="str">
        <f t="shared" si="1"/>
        <v/>
      </c>
      <c r="H18" s="17"/>
      <c r="I18" s="18"/>
      <c r="J18" s="16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13.0</v>
      </c>
      <c r="B19" s="11" t="s">
        <v>13</v>
      </c>
      <c r="C19" s="11" t="s">
        <v>19</v>
      </c>
      <c r="D19" s="11" t="s">
        <v>134</v>
      </c>
      <c r="E19" s="11" t="s">
        <v>135</v>
      </c>
      <c r="F19" s="12">
        <v>2026.0</v>
      </c>
      <c r="G19" s="14" t="str">
        <f t="shared" si="1"/>
        <v/>
      </c>
      <c r="H19" s="17"/>
      <c r="I19" s="18"/>
      <c r="J19" s="16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14.0</v>
      </c>
      <c r="B20" s="11" t="s">
        <v>13</v>
      </c>
      <c r="C20" s="11" t="s">
        <v>19</v>
      </c>
      <c r="D20" s="11" t="s">
        <v>140</v>
      </c>
      <c r="E20" s="11" t="s">
        <v>141</v>
      </c>
      <c r="F20" s="12">
        <v>2026.0</v>
      </c>
      <c r="G20" s="14" t="str">
        <f t="shared" si="1"/>
        <v/>
      </c>
      <c r="H20" s="17"/>
      <c r="I20" s="18"/>
      <c r="J20" s="16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15.0</v>
      </c>
      <c r="B21" s="11" t="s">
        <v>13</v>
      </c>
      <c r="C21" s="11" t="s">
        <v>19</v>
      </c>
      <c r="D21" s="11" t="s">
        <v>144</v>
      </c>
      <c r="E21" s="11" t="s">
        <v>145</v>
      </c>
      <c r="F21" s="12">
        <v>2026.0</v>
      </c>
      <c r="G21" s="14" t="str">
        <f t="shared" si="1"/>
        <v/>
      </c>
      <c r="H21" s="17"/>
      <c r="I21" s="18"/>
      <c r="J21" s="16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16.0</v>
      </c>
      <c r="B22" s="11" t="s">
        <v>13</v>
      </c>
      <c r="C22" s="11" t="s">
        <v>19</v>
      </c>
      <c r="D22" s="11" t="s">
        <v>148</v>
      </c>
      <c r="E22" s="11" t="s">
        <v>149</v>
      </c>
      <c r="F22" s="12">
        <v>2026.0</v>
      </c>
      <c r="G22" s="14" t="str">
        <f t="shared" si="1"/>
        <v/>
      </c>
      <c r="H22" s="17"/>
      <c r="I22" s="18"/>
      <c r="J22" s="16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17.0</v>
      </c>
      <c r="B23" s="11" t="s">
        <v>13</v>
      </c>
      <c r="C23" s="11" t="s">
        <v>19</v>
      </c>
      <c r="D23" s="11" t="s">
        <v>152</v>
      </c>
      <c r="E23" s="11" t="s">
        <v>153</v>
      </c>
      <c r="F23" s="12">
        <v>2026.0</v>
      </c>
      <c r="G23" s="14" t="str">
        <f t="shared" si="1"/>
        <v/>
      </c>
      <c r="H23" s="17"/>
      <c r="I23" s="18"/>
      <c r="J23" s="16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18.0</v>
      </c>
      <c r="B24" s="11" t="s">
        <v>13</v>
      </c>
      <c r="C24" s="11" t="s">
        <v>19</v>
      </c>
      <c r="D24" s="11" t="s">
        <v>156</v>
      </c>
      <c r="E24" s="11" t="s">
        <v>157</v>
      </c>
      <c r="F24" s="12">
        <v>2026.0</v>
      </c>
      <c r="G24" s="14" t="str">
        <f t="shared" si="1"/>
        <v/>
      </c>
      <c r="H24" s="17"/>
      <c r="I24" s="18"/>
      <c r="J24" s="16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</sheetData>
  <mergeCells count="4">
    <mergeCell ref="A1:J1"/>
    <mergeCell ref="A2:J2"/>
    <mergeCell ref="A3:J3"/>
    <mergeCell ref="G6:H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21.25"/>
    <col customWidth="1" min="4" max="4" width="23.5"/>
    <col customWidth="1" min="5" max="5" width="22.13"/>
    <col customWidth="1" min="7" max="7" width="3.5"/>
    <col customWidth="1" min="8" max="8" width="6.88"/>
    <col customWidth="1" min="9" max="9" width="3.38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1.0</v>
      </c>
      <c r="B7" s="11" t="s">
        <v>13</v>
      </c>
      <c r="C7" s="11" t="s">
        <v>25</v>
      </c>
      <c r="D7" s="11" t="s">
        <v>26</v>
      </c>
      <c r="E7" s="11">
        <v>1.50903101730001E14</v>
      </c>
      <c r="F7" s="12">
        <v>2026.0</v>
      </c>
      <c r="G7" s="14" t="str">
        <f t="shared" ref="G7:G30" si="1">IF(H7&lt;&gt;"","✓","")</f>
        <v/>
      </c>
      <c r="H7" s="17"/>
      <c r="I7" s="18"/>
      <c r="J7" s="1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2.0</v>
      </c>
      <c r="B8" s="11" t="s">
        <v>13</v>
      </c>
      <c r="C8" s="11" t="s">
        <v>25</v>
      </c>
      <c r="D8" s="11" t="s">
        <v>39</v>
      </c>
      <c r="E8" s="11" t="s">
        <v>40</v>
      </c>
      <c r="F8" s="12">
        <v>2026.0</v>
      </c>
      <c r="G8" s="14" t="str">
        <f t="shared" si="1"/>
        <v/>
      </c>
      <c r="H8" s="17"/>
      <c r="I8" s="18"/>
      <c r="J8" s="1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3.0</v>
      </c>
      <c r="B9" s="11" t="s">
        <v>13</v>
      </c>
      <c r="C9" s="11" t="s">
        <v>25</v>
      </c>
      <c r="D9" s="11" t="s">
        <v>49</v>
      </c>
      <c r="E9" s="11" t="s">
        <v>50</v>
      </c>
      <c r="F9" s="12">
        <v>2026.0</v>
      </c>
      <c r="G9" s="14" t="str">
        <f t="shared" si="1"/>
        <v/>
      </c>
      <c r="H9" s="17"/>
      <c r="I9" s="18"/>
      <c r="J9" s="16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4.0</v>
      </c>
      <c r="B10" s="11" t="s">
        <v>13</v>
      </c>
      <c r="C10" s="11" t="s">
        <v>25</v>
      </c>
      <c r="D10" s="11" t="s">
        <v>57</v>
      </c>
      <c r="E10" s="11" t="s">
        <v>59</v>
      </c>
      <c r="F10" s="12">
        <v>2026.0</v>
      </c>
      <c r="G10" s="14" t="str">
        <f t="shared" si="1"/>
        <v/>
      </c>
      <c r="H10" s="17"/>
      <c r="I10" s="18"/>
      <c r="J10" s="16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5.0</v>
      </c>
      <c r="B11" s="11" t="s">
        <v>13</v>
      </c>
      <c r="C11" s="11" t="s">
        <v>25</v>
      </c>
      <c r="D11" s="11" t="s">
        <v>67</v>
      </c>
      <c r="E11" s="11" t="s">
        <v>68</v>
      </c>
      <c r="F11" s="12">
        <v>2026.0</v>
      </c>
      <c r="G11" s="14" t="str">
        <f t="shared" si="1"/>
        <v/>
      </c>
      <c r="H11" s="17"/>
      <c r="I11" s="18"/>
      <c r="J11" s="1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6.0</v>
      </c>
      <c r="B12" s="11" t="s">
        <v>13</v>
      </c>
      <c r="C12" s="11" t="s">
        <v>25</v>
      </c>
      <c r="D12" s="11" t="s">
        <v>77</v>
      </c>
      <c r="E12" s="11" t="s">
        <v>78</v>
      </c>
      <c r="F12" s="12">
        <v>2026.0</v>
      </c>
      <c r="G12" s="14" t="str">
        <f t="shared" si="1"/>
        <v/>
      </c>
      <c r="H12" s="17"/>
      <c r="I12" s="18"/>
      <c r="J12" s="1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7.0</v>
      </c>
      <c r="B13" s="11" t="s">
        <v>13</v>
      </c>
      <c r="C13" s="11" t="s">
        <v>25</v>
      </c>
      <c r="D13" s="11" t="s">
        <v>83</v>
      </c>
      <c r="E13" s="11" t="s">
        <v>85</v>
      </c>
      <c r="F13" s="12">
        <v>2026.0</v>
      </c>
      <c r="G13" s="14" t="str">
        <f t="shared" si="1"/>
        <v/>
      </c>
      <c r="H13" s="17"/>
      <c r="I13" s="18"/>
      <c r="J13" s="1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8.0</v>
      </c>
      <c r="B14" s="11" t="s">
        <v>13</v>
      </c>
      <c r="C14" s="11" t="s">
        <v>25</v>
      </c>
      <c r="D14" s="11" t="s">
        <v>92</v>
      </c>
      <c r="E14" s="11" t="s">
        <v>94</v>
      </c>
      <c r="F14" s="12">
        <v>2026.0</v>
      </c>
      <c r="G14" s="14" t="str">
        <f t="shared" si="1"/>
        <v/>
      </c>
      <c r="H14" s="17"/>
      <c r="I14" s="18"/>
      <c r="J14" s="1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9.0</v>
      </c>
      <c r="B15" s="11" t="s">
        <v>13</v>
      </c>
      <c r="C15" s="11" t="s">
        <v>25</v>
      </c>
      <c r="D15" s="11" t="s">
        <v>101</v>
      </c>
      <c r="E15" s="11" t="s">
        <v>102</v>
      </c>
      <c r="F15" s="12">
        <v>2026.0</v>
      </c>
      <c r="G15" s="14" t="str">
        <f t="shared" si="1"/>
        <v/>
      </c>
      <c r="H15" s="17"/>
      <c r="I15" s="18"/>
      <c r="J15" s="16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10.0</v>
      </c>
      <c r="B16" s="11" t="s">
        <v>13</v>
      </c>
      <c r="C16" s="11" t="s">
        <v>25</v>
      </c>
      <c r="D16" s="11" t="s">
        <v>111</v>
      </c>
      <c r="E16" s="11" t="s">
        <v>112</v>
      </c>
      <c r="F16" s="12">
        <v>2026.0</v>
      </c>
      <c r="G16" s="14" t="str">
        <f t="shared" si="1"/>
        <v/>
      </c>
      <c r="H16" s="17"/>
      <c r="I16" s="18"/>
      <c r="J16" s="1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11.0</v>
      </c>
      <c r="B17" s="11" t="s">
        <v>13</v>
      </c>
      <c r="C17" s="11" t="s">
        <v>25</v>
      </c>
      <c r="D17" s="11" t="s">
        <v>116</v>
      </c>
      <c r="E17" s="11" t="s">
        <v>118</v>
      </c>
      <c r="F17" s="12">
        <v>2026.0</v>
      </c>
      <c r="G17" s="14" t="str">
        <f t="shared" si="1"/>
        <v/>
      </c>
      <c r="H17" s="17"/>
      <c r="I17" s="18"/>
      <c r="J17" s="16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12.0</v>
      </c>
      <c r="B18" s="11" t="s">
        <v>13</v>
      </c>
      <c r="C18" s="11" t="s">
        <v>25</v>
      </c>
      <c r="D18" s="11" t="s">
        <v>121</v>
      </c>
      <c r="E18" s="11" t="s">
        <v>122</v>
      </c>
      <c r="F18" s="12">
        <v>2026.0</v>
      </c>
      <c r="G18" s="14" t="str">
        <f t="shared" si="1"/>
        <v/>
      </c>
      <c r="H18" s="17"/>
      <c r="I18" s="18"/>
      <c r="J18" s="16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13.0</v>
      </c>
      <c r="B19" s="11" t="s">
        <v>13</v>
      </c>
      <c r="C19" s="11" t="s">
        <v>25</v>
      </c>
      <c r="D19" s="11" t="s">
        <v>127</v>
      </c>
      <c r="E19" s="11" t="s">
        <v>128</v>
      </c>
      <c r="F19" s="12">
        <v>2026.0</v>
      </c>
      <c r="G19" s="14" t="str">
        <f t="shared" si="1"/>
        <v/>
      </c>
      <c r="H19" s="17"/>
      <c r="I19" s="18"/>
      <c r="J19" s="16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14.0</v>
      </c>
      <c r="B20" s="11" t="s">
        <v>13</v>
      </c>
      <c r="C20" s="11" t="s">
        <v>25</v>
      </c>
      <c r="D20" s="11" t="s">
        <v>133</v>
      </c>
      <c r="E20" s="11">
        <v>1.50903204860006E14</v>
      </c>
      <c r="F20" s="12">
        <v>2026.0</v>
      </c>
      <c r="G20" s="14" t="str">
        <f t="shared" si="1"/>
        <v/>
      </c>
      <c r="H20" s="17"/>
      <c r="I20" s="18"/>
      <c r="J20" s="16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15.0</v>
      </c>
      <c r="B21" s="11" t="s">
        <v>13</v>
      </c>
      <c r="C21" s="11" t="s">
        <v>25</v>
      </c>
      <c r="D21" s="11" t="s">
        <v>136</v>
      </c>
      <c r="E21" s="11" t="s">
        <v>138</v>
      </c>
      <c r="F21" s="12">
        <v>2026.0</v>
      </c>
      <c r="G21" s="14" t="str">
        <f t="shared" si="1"/>
        <v/>
      </c>
      <c r="H21" s="17"/>
      <c r="I21" s="18"/>
      <c r="J21" s="16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16.0</v>
      </c>
      <c r="B22" s="11" t="s">
        <v>13</v>
      </c>
      <c r="C22" s="11" t="s">
        <v>25</v>
      </c>
      <c r="D22" s="11" t="s">
        <v>142</v>
      </c>
      <c r="E22" s="11" t="s">
        <v>143</v>
      </c>
      <c r="F22" s="12">
        <v>2026.0</v>
      </c>
      <c r="G22" s="14" t="str">
        <f t="shared" si="1"/>
        <v/>
      </c>
      <c r="H22" s="17"/>
      <c r="I22" s="18"/>
      <c r="J22" s="16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17.0</v>
      </c>
      <c r="B23" s="11" t="s">
        <v>13</v>
      </c>
      <c r="C23" s="11" t="s">
        <v>25</v>
      </c>
      <c r="D23" s="11" t="s">
        <v>146</v>
      </c>
      <c r="E23" s="11" t="s">
        <v>147</v>
      </c>
      <c r="F23" s="12">
        <v>2026.0</v>
      </c>
      <c r="G23" s="14" t="str">
        <f t="shared" si="1"/>
        <v/>
      </c>
      <c r="H23" s="17"/>
      <c r="I23" s="18"/>
      <c r="J23" s="16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18.0</v>
      </c>
      <c r="B24" s="11" t="s">
        <v>13</v>
      </c>
      <c r="C24" s="11" t="s">
        <v>25</v>
      </c>
      <c r="D24" s="11" t="s">
        <v>150</v>
      </c>
      <c r="E24" s="11" t="s">
        <v>151</v>
      </c>
      <c r="F24" s="12">
        <v>2026.0</v>
      </c>
      <c r="G24" s="14" t="str">
        <f t="shared" si="1"/>
        <v/>
      </c>
      <c r="H24" s="17"/>
      <c r="I24" s="18"/>
      <c r="J24" s="16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>
        <v>19.0</v>
      </c>
      <c r="B25" s="11" t="s">
        <v>13</v>
      </c>
      <c r="C25" s="11" t="s">
        <v>25</v>
      </c>
      <c r="D25" s="11" t="s">
        <v>154</v>
      </c>
      <c r="E25" s="11" t="s">
        <v>155</v>
      </c>
      <c r="F25" s="12">
        <v>2026.0</v>
      </c>
      <c r="G25" s="14" t="str">
        <f t="shared" si="1"/>
        <v/>
      </c>
      <c r="H25" s="17"/>
      <c r="I25" s="18"/>
      <c r="J25" s="16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>
        <v>20.0</v>
      </c>
      <c r="B26" s="11" t="s">
        <v>13</v>
      </c>
      <c r="C26" s="11" t="s">
        <v>25</v>
      </c>
      <c r="D26" s="11" t="s">
        <v>158</v>
      </c>
      <c r="E26" s="11" t="s">
        <v>159</v>
      </c>
      <c r="F26" s="12">
        <v>2026.0</v>
      </c>
      <c r="G26" s="14" t="str">
        <f t="shared" si="1"/>
        <v/>
      </c>
      <c r="H26" s="17"/>
      <c r="I26" s="18"/>
      <c r="J26" s="16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>
        <v>21.0</v>
      </c>
      <c r="B27" s="11" t="s">
        <v>13</v>
      </c>
      <c r="C27" s="11" t="s">
        <v>25</v>
      </c>
      <c r="D27" s="11" t="s">
        <v>160</v>
      </c>
      <c r="E27" s="11" t="s">
        <v>161</v>
      </c>
      <c r="F27" s="12">
        <v>2026.0</v>
      </c>
      <c r="G27" s="14" t="str">
        <f t="shared" si="1"/>
        <v/>
      </c>
      <c r="H27" s="17"/>
      <c r="I27" s="18"/>
      <c r="J27" s="16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>
        <v>22.0</v>
      </c>
      <c r="B28" s="11" t="s">
        <v>13</v>
      </c>
      <c r="C28" s="11" t="s">
        <v>25</v>
      </c>
      <c r="D28" s="11" t="s">
        <v>162</v>
      </c>
      <c r="E28" s="11" t="s">
        <v>163</v>
      </c>
      <c r="F28" s="12">
        <v>2026.0</v>
      </c>
      <c r="G28" s="14" t="str">
        <f t="shared" si="1"/>
        <v/>
      </c>
      <c r="H28" s="17"/>
      <c r="I28" s="18"/>
      <c r="J28" s="16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>
        <v>23.0</v>
      </c>
      <c r="B29" s="11" t="s">
        <v>13</v>
      </c>
      <c r="C29" s="11" t="s">
        <v>25</v>
      </c>
      <c r="D29" s="11" t="s">
        <v>164</v>
      </c>
      <c r="E29" s="11" t="s">
        <v>165</v>
      </c>
      <c r="F29" s="12">
        <v>2026.0</v>
      </c>
      <c r="G29" s="14" t="str">
        <f t="shared" si="1"/>
        <v/>
      </c>
      <c r="H29" s="17"/>
      <c r="I29" s="18"/>
      <c r="J29" s="16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>
        <v>24.0</v>
      </c>
      <c r="B30" s="11" t="s">
        <v>13</v>
      </c>
      <c r="C30" s="11" t="s">
        <v>25</v>
      </c>
      <c r="D30" s="11" t="s">
        <v>166</v>
      </c>
      <c r="E30" s="11" t="s">
        <v>167</v>
      </c>
      <c r="F30" s="12">
        <v>2026.0</v>
      </c>
      <c r="G30" s="14" t="str">
        <f t="shared" si="1"/>
        <v/>
      </c>
      <c r="H30" s="17"/>
      <c r="I30" s="18"/>
      <c r="J30" s="16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</sheetData>
  <mergeCells count="4">
    <mergeCell ref="A1:J1"/>
    <mergeCell ref="A2:J2"/>
    <mergeCell ref="A3:J3"/>
    <mergeCell ref="G6:H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21.25"/>
    <col customWidth="1" min="4" max="4" width="23.5"/>
    <col customWidth="1" min="5" max="5" width="22.13"/>
    <col customWidth="1" min="7" max="7" width="3.5"/>
    <col customWidth="1" min="8" max="8" width="6.88"/>
    <col customWidth="1" min="9" max="9" width="3.38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1.0</v>
      </c>
      <c r="B7" s="11" t="s">
        <v>13</v>
      </c>
      <c r="C7" s="11" t="s">
        <v>168</v>
      </c>
      <c r="D7" s="11" t="s">
        <v>169</v>
      </c>
      <c r="E7" s="11" t="s">
        <v>170</v>
      </c>
      <c r="F7" s="12">
        <v>2026.0</v>
      </c>
      <c r="G7" s="14" t="str">
        <f t="shared" ref="G7:G15" si="1">IF(H7&lt;&gt;"","✓","")</f>
        <v/>
      </c>
      <c r="H7" s="17"/>
      <c r="I7" s="18"/>
      <c r="J7" s="1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2.0</v>
      </c>
      <c r="B8" s="11" t="s">
        <v>13</v>
      </c>
      <c r="C8" s="11" t="s">
        <v>168</v>
      </c>
      <c r="D8" s="11" t="s">
        <v>171</v>
      </c>
      <c r="E8" s="11" t="s">
        <v>172</v>
      </c>
      <c r="F8" s="12">
        <v>2026.0</v>
      </c>
      <c r="G8" s="14" t="str">
        <f t="shared" si="1"/>
        <v/>
      </c>
      <c r="H8" s="17"/>
      <c r="I8" s="18"/>
      <c r="J8" s="1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3.0</v>
      </c>
      <c r="B9" s="11" t="s">
        <v>13</v>
      </c>
      <c r="C9" s="11" t="s">
        <v>168</v>
      </c>
      <c r="D9" s="11" t="s">
        <v>173</v>
      </c>
      <c r="E9" s="11" t="s">
        <v>174</v>
      </c>
      <c r="F9" s="12">
        <v>2026.0</v>
      </c>
      <c r="G9" s="14" t="str">
        <f t="shared" si="1"/>
        <v/>
      </c>
      <c r="H9" s="17"/>
      <c r="I9" s="18"/>
      <c r="J9" s="16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4.0</v>
      </c>
      <c r="B10" s="11" t="s">
        <v>13</v>
      </c>
      <c r="C10" s="11" t="s">
        <v>168</v>
      </c>
      <c r="D10" s="11" t="s">
        <v>175</v>
      </c>
      <c r="E10" s="11" t="s">
        <v>176</v>
      </c>
      <c r="F10" s="12">
        <v>2026.0</v>
      </c>
      <c r="G10" s="14" t="str">
        <f t="shared" si="1"/>
        <v/>
      </c>
      <c r="H10" s="17"/>
      <c r="I10" s="18"/>
      <c r="J10" s="16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5.0</v>
      </c>
      <c r="B11" s="11" t="s">
        <v>13</v>
      </c>
      <c r="C11" s="11" t="s">
        <v>168</v>
      </c>
      <c r="D11" s="11" t="s">
        <v>177</v>
      </c>
      <c r="E11" s="11" t="s">
        <v>178</v>
      </c>
      <c r="F11" s="12">
        <v>2026.0</v>
      </c>
      <c r="G11" s="14" t="str">
        <f t="shared" si="1"/>
        <v/>
      </c>
      <c r="H11" s="17"/>
      <c r="I11" s="18"/>
      <c r="J11" s="1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6.0</v>
      </c>
      <c r="B12" s="11" t="s">
        <v>13</v>
      </c>
      <c r="C12" s="11" t="s">
        <v>168</v>
      </c>
      <c r="D12" s="11" t="s">
        <v>179</v>
      </c>
      <c r="E12" s="11" t="s">
        <v>180</v>
      </c>
      <c r="F12" s="12">
        <v>2026.0</v>
      </c>
      <c r="G12" s="14" t="str">
        <f t="shared" si="1"/>
        <v/>
      </c>
      <c r="H12" s="17"/>
      <c r="I12" s="18"/>
      <c r="J12" s="1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7.0</v>
      </c>
      <c r="B13" s="11" t="s">
        <v>13</v>
      </c>
      <c r="C13" s="11" t="s">
        <v>168</v>
      </c>
      <c r="D13" s="11" t="s">
        <v>181</v>
      </c>
      <c r="E13" s="11" t="s">
        <v>182</v>
      </c>
      <c r="F13" s="12">
        <v>2026.0</v>
      </c>
      <c r="G13" s="14" t="str">
        <f t="shared" si="1"/>
        <v/>
      </c>
      <c r="H13" s="17"/>
      <c r="I13" s="18"/>
      <c r="J13" s="1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8.0</v>
      </c>
      <c r="B14" s="11" t="s">
        <v>13</v>
      </c>
      <c r="C14" s="11" t="s">
        <v>168</v>
      </c>
      <c r="D14" s="11" t="s">
        <v>183</v>
      </c>
      <c r="E14" s="11" t="s">
        <v>184</v>
      </c>
      <c r="F14" s="12">
        <v>2026.0</v>
      </c>
      <c r="G14" s="14" t="str">
        <f t="shared" si="1"/>
        <v/>
      </c>
      <c r="H14" s="17"/>
      <c r="I14" s="18"/>
      <c r="J14" s="1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9.0</v>
      </c>
      <c r="B15" s="11" t="s">
        <v>13</v>
      </c>
      <c r="C15" s="11" t="s">
        <v>168</v>
      </c>
      <c r="D15" s="11" t="s">
        <v>185</v>
      </c>
      <c r="E15" s="11" t="s">
        <v>186</v>
      </c>
      <c r="F15" s="12">
        <v>2026.0</v>
      </c>
      <c r="G15" s="14" t="str">
        <f t="shared" si="1"/>
        <v/>
      </c>
      <c r="H15" s="17"/>
      <c r="I15" s="18"/>
      <c r="J15" s="16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</sheetData>
  <mergeCells count="4">
    <mergeCell ref="A1:J1"/>
    <mergeCell ref="A2:J2"/>
    <mergeCell ref="A3:J3"/>
    <mergeCell ref="G6:H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21.25"/>
    <col customWidth="1" min="4" max="4" width="23.5"/>
    <col customWidth="1" min="5" max="5" width="22.13"/>
    <col customWidth="1" min="7" max="7" width="3.5"/>
    <col customWidth="1" min="8" max="8" width="6.88"/>
    <col customWidth="1" min="9" max="9" width="3.38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1.0</v>
      </c>
      <c r="B7" s="11" t="s">
        <v>13</v>
      </c>
      <c r="C7" s="11" t="s">
        <v>187</v>
      </c>
      <c r="D7" s="11" t="s">
        <v>188</v>
      </c>
      <c r="E7" s="11" t="s">
        <v>189</v>
      </c>
      <c r="F7" s="12">
        <v>2026.0</v>
      </c>
      <c r="G7" s="14" t="str">
        <f t="shared" ref="G7:G20" si="1">IF(H7&lt;&gt;"","✓","")</f>
        <v/>
      </c>
      <c r="H7" s="17"/>
      <c r="I7" s="18"/>
      <c r="J7" s="1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2.0</v>
      </c>
      <c r="B8" s="11" t="s">
        <v>13</v>
      </c>
      <c r="C8" s="11" t="s">
        <v>187</v>
      </c>
      <c r="D8" s="11" t="s">
        <v>190</v>
      </c>
      <c r="E8" s="11" t="s">
        <v>191</v>
      </c>
      <c r="F8" s="12">
        <v>2026.0</v>
      </c>
      <c r="G8" s="14" t="str">
        <f t="shared" si="1"/>
        <v/>
      </c>
      <c r="H8" s="17"/>
      <c r="I8" s="18"/>
      <c r="J8" s="1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3.0</v>
      </c>
      <c r="B9" s="11" t="s">
        <v>13</v>
      </c>
      <c r="C9" s="11" t="s">
        <v>187</v>
      </c>
      <c r="D9" s="11" t="s">
        <v>192</v>
      </c>
      <c r="E9" s="11" t="s">
        <v>193</v>
      </c>
      <c r="F9" s="12">
        <v>2026.0</v>
      </c>
      <c r="G9" s="14" t="str">
        <f t="shared" si="1"/>
        <v/>
      </c>
      <c r="H9" s="17"/>
      <c r="I9" s="18"/>
      <c r="J9" s="16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4.0</v>
      </c>
      <c r="B10" s="11" t="s">
        <v>13</v>
      </c>
      <c r="C10" s="11" t="s">
        <v>187</v>
      </c>
      <c r="D10" s="11" t="s">
        <v>194</v>
      </c>
      <c r="E10" s="11" t="s">
        <v>195</v>
      </c>
      <c r="F10" s="12">
        <v>2026.0</v>
      </c>
      <c r="G10" s="14" t="str">
        <f t="shared" si="1"/>
        <v/>
      </c>
      <c r="H10" s="17"/>
      <c r="I10" s="18"/>
      <c r="J10" s="16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5.0</v>
      </c>
      <c r="B11" s="11" t="s">
        <v>13</v>
      </c>
      <c r="C11" s="11" t="s">
        <v>187</v>
      </c>
      <c r="D11" s="11" t="s">
        <v>196</v>
      </c>
      <c r="E11" s="11" t="s">
        <v>197</v>
      </c>
      <c r="F11" s="12">
        <v>2026.0</v>
      </c>
      <c r="G11" s="14" t="str">
        <f t="shared" si="1"/>
        <v/>
      </c>
      <c r="H11" s="17"/>
      <c r="I11" s="18"/>
      <c r="J11" s="1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6.0</v>
      </c>
      <c r="B12" s="11" t="s">
        <v>13</v>
      </c>
      <c r="C12" s="11" t="s">
        <v>187</v>
      </c>
      <c r="D12" s="11" t="s">
        <v>198</v>
      </c>
      <c r="E12" s="11" t="s">
        <v>199</v>
      </c>
      <c r="F12" s="12">
        <v>2026.0</v>
      </c>
      <c r="G12" s="14" t="str">
        <f t="shared" si="1"/>
        <v/>
      </c>
      <c r="H12" s="17"/>
      <c r="I12" s="18"/>
      <c r="J12" s="1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7.0</v>
      </c>
      <c r="B13" s="11" t="s">
        <v>13</v>
      </c>
      <c r="C13" s="11" t="s">
        <v>187</v>
      </c>
      <c r="D13" s="11" t="s">
        <v>200</v>
      </c>
      <c r="E13" s="11" t="s">
        <v>201</v>
      </c>
      <c r="F13" s="12">
        <v>2026.0</v>
      </c>
      <c r="G13" s="14" t="str">
        <f t="shared" si="1"/>
        <v/>
      </c>
      <c r="H13" s="17"/>
      <c r="I13" s="18"/>
      <c r="J13" s="1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8.0</v>
      </c>
      <c r="B14" s="11" t="s">
        <v>13</v>
      </c>
      <c r="C14" s="11" t="s">
        <v>187</v>
      </c>
      <c r="D14" s="11" t="s">
        <v>202</v>
      </c>
      <c r="E14" s="11" t="s">
        <v>203</v>
      </c>
      <c r="F14" s="12">
        <v>2026.0</v>
      </c>
      <c r="G14" s="14" t="str">
        <f t="shared" si="1"/>
        <v/>
      </c>
      <c r="H14" s="17"/>
      <c r="I14" s="18"/>
      <c r="J14" s="1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9.0</v>
      </c>
      <c r="B15" s="11" t="s">
        <v>13</v>
      </c>
      <c r="C15" s="11" t="s">
        <v>187</v>
      </c>
      <c r="D15" s="11" t="s">
        <v>204</v>
      </c>
      <c r="E15" s="11" t="s">
        <v>205</v>
      </c>
      <c r="F15" s="12">
        <v>2026.0</v>
      </c>
      <c r="G15" s="14" t="str">
        <f t="shared" si="1"/>
        <v/>
      </c>
      <c r="H15" s="17"/>
      <c r="I15" s="18"/>
      <c r="J15" s="16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10.0</v>
      </c>
      <c r="B16" s="11" t="s">
        <v>13</v>
      </c>
      <c r="C16" s="11" t="s">
        <v>187</v>
      </c>
      <c r="D16" s="11" t="s">
        <v>206</v>
      </c>
      <c r="E16" s="11" t="s">
        <v>207</v>
      </c>
      <c r="F16" s="12">
        <v>2026.0</v>
      </c>
      <c r="G16" s="14" t="str">
        <f t="shared" si="1"/>
        <v/>
      </c>
      <c r="H16" s="17"/>
      <c r="I16" s="18"/>
      <c r="J16" s="1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11.0</v>
      </c>
      <c r="B17" s="11" t="s">
        <v>13</v>
      </c>
      <c r="C17" s="11" t="s">
        <v>208</v>
      </c>
      <c r="D17" s="11" t="s">
        <v>209</v>
      </c>
      <c r="E17" s="11" t="s">
        <v>210</v>
      </c>
      <c r="F17" s="12">
        <v>2026.0</v>
      </c>
      <c r="G17" s="14" t="str">
        <f t="shared" si="1"/>
        <v/>
      </c>
      <c r="H17" s="17"/>
      <c r="I17" s="18"/>
      <c r="J17" s="16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12.0</v>
      </c>
      <c r="B18" s="11" t="s">
        <v>13</v>
      </c>
      <c r="C18" s="11" t="s">
        <v>208</v>
      </c>
      <c r="D18" s="11" t="s">
        <v>211</v>
      </c>
      <c r="E18" s="11" t="s">
        <v>212</v>
      </c>
      <c r="F18" s="12">
        <v>2026.0</v>
      </c>
      <c r="G18" s="14" t="str">
        <f t="shared" si="1"/>
        <v/>
      </c>
      <c r="H18" s="17"/>
      <c r="I18" s="18"/>
      <c r="J18" s="16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13.0</v>
      </c>
      <c r="B19" s="11" t="s">
        <v>13</v>
      </c>
      <c r="C19" s="11" t="s">
        <v>208</v>
      </c>
      <c r="D19" s="11" t="s">
        <v>213</v>
      </c>
      <c r="E19" s="11" t="s">
        <v>214</v>
      </c>
      <c r="F19" s="12">
        <v>2026.0</v>
      </c>
      <c r="G19" s="14" t="str">
        <f t="shared" si="1"/>
        <v/>
      </c>
      <c r="H19" s="17"/>
      <c r="I19" s="18"/>
      <c r="J19" s="16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14.0</v>
      </c>
      <c r="B20" s="11" t="s">
        <v>13</v>
      </c>
      <c r="C20" s="11" t="s">
        <v>208</v>
      </c>
      <c r="D20" s="11" t="s">
        <v>215</v>
      </c>
      <c r="E20" s="11" t="s">
        <v>216</v>
      </c>
      <c r="F20" s="12">
        <v>2026.0</v>
      </c>
      <c r="G20" s="14" t="str">
        <f t="shared" si="1"/>
        <v/>
      </c>
      <c r="H20" s="17"/>
      <c r="I20" s="18"/>
      <c r="J20" s="16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</sheetData>
  <mergeCells count="4">
    <mergeCell ref="A1:J1"/>
    <mergeCell ref="A2:J2"/>
    <mergeCell ref="A3:J3"/>
    <mergeCell ref="G6:H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21.25"/>
    <col customWidth="1" min="4" max="4" width="23.5"/>
    <col customWidth="1" min="5" max="5" width="22.13"/>
    <col customWidth="1" min="7" max="7" width="3.5"/>
    <col customWidth="1" min="8" max="8" width="6.88"/>
    <col customWidth="1" min="9" max="9" width="3.38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1.0</v>
      </c>
      <c r="B7" s="11" t="s">
        <v>13</v>
      </c>
      <c r="C7" s="11" t="s">
        <v>217</v>
      </c>
      <c r="D7" s="11" t="s">
        <v>218</v>
      </c>
      <c r="E7" s="11" t="s">
        <v>219</v>
      </c>
      <c r="F7" s="12">
        <v>2026.0</v>
      </c>
      <c r="G7" s="14" t="str">
        <f t="shared" ref="G7:G18" si="1">IF(H7&lt;&gt;"","✓","")</f>
        <v/>
      </c>
      <c r="H7" s="17"/>
      <c r="I7" s="18"/>
      <c r="J7" s="1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2.0</v>
      </c>
      <c r="B8" s="11" t="s">
        <v>13</v>
      </c>
      <c r="C8" s="11" t="s">
        <v>217</v>
      </c>
      <c r="D8" s="11" t="s">
        <v>220</v>
      </c>
      <c r="E8" s="11" t="s">
        <v>221</v>
      </c>
      <c r="F8" s="12">
        <v>2026.0</v>
      </c>
      <c r="G8" s="14" t="str">
        <f t="shared" si="1"/>
        <v/>
      </c>
      <c r="H8" s="17"/>
      <c r="I8" s="18"/>
      <c r="J8" s="1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3.0</v>
      </c>
      <c r="B9" s="11" t="s">
        <v>13</v>
      </c>
      <c r="C9" s="11" t="s">
        <v>217</v>
      </c>
      <c r="D9" s="11" t="s">
        <v>222</v>
      </c>
      <c r="E9" s="11" t="s">
        <v>223</v>
      </c>
      <c r="F9" s="12">
        <v>2026.0</v>
      </c>
      <c r="G9" s="14" t="str">
        <f t="shared" si="1"/>
        <v/>
      </c>
      <c r="H9" s="17"/>
      <c r="I9" s="18"/>
      <c r="J9" s="16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4.0</v>
      </c>
      <c r="B10" s="11" t="s">
        <v>13</v>
      </c>
      <c r="C10" s="11" t="s">
        <v>217</v>
      </c>
      <c r="D10" s="11" t="s">
        <v>224</v>
      </c>
      <c r="E10" s="11" t="s">
        <v>225</v>
      </c>
      <c r="F10" s="12">
        <v>2026.0</v>
      </c>
      <c r="G10" s="14" t="str">
        <f t="shared" si="1"/>
        <v/>
      </c>
      <c r="H10" s="17"/>
      <c r="I10" s="18"/>
      <c r="J10" s="16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5.0</v>
      </c>
      <c r="B11" s="11" t="s">
        <v>13</v>
      </c>
      <c r="C11" s="11" t="s">
        <v>217</v>
      </c>
      <c r="D11" s="11" t="s">
        <v>226</v>
      </c>
      <c r="E11" s="11" t="s">
        <v>227</v>
      </c>
      <c r="F11" s="12">
        <v>2026.0</v>
      </c>
      <c r="G11" s="14" t="str">
        <f t="shared" si="1"/>
        <v/>
      </c>
      <c r="H11" s="17"/>
      <c r="I11" s="18"/>
      <c r="J11" s="1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6.0</v>
      </c>
      <c r="B12" s="11" t="s">
        <v>13</v>
      </c>
      <c r="C12" s="11" t="s">
        <v>217</v>
      </c>
      <c r="D12" s="11" t="s">
        <v>228</v>
      </c>
      <c r="E12" s="11">
        <v>1.50903010780017E15</v>
      </c>
      <c r="F12" s="12">
        <v>2026.0</v>
      </c>
      <c r="G12" s="14" t="str">
        <f t="shared" si="1"/>
        <v/>
      </c>
      <c r="H12" s="17"/>
      <c r="I12" s="18"/>
      <c r="J12" s="1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7.0</v>
      </c>
      <c r="B13" s="11" t="s">
        <v>13</v>
      </c>
      <c r="C13" s="11" t="s">
        <v>217</v>
      </c>
      <c r="D13" s="11" t="s">
        <v>229</v>
      </c>
      <c r="E13" s="11" t="s">
        <v>230</v>
      </c>
      <c r="F13" s="12">
        <v>2026.0</v>
      </c>
      <c r="G13" s="14" t="str">
        <f t="shared" si="1"/>
        <v/>
      </c>
      <c r="H13" s="17"/>
      <c r="I13" s="18"/>
      <c r="J13" s="1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8.0</v>
      </c>
      <c r="B14" s="11" t="s">
        <v>13</v>
      </c>
      <c r="C14" s="11" t="s">
        <v>217</v>
      </c>
      <c r="D14" s="11" t="s">
        <v>231</v>
      </c>
      <c r="E14" s="11" t="s">
        <v>232</v>
      </c>
      <c r="F14" s="12">
        <v>2026.0</v>
      </c>
      <c r="G14" s="14" t="str">
        <f t="shared" si="1"/>
        <v/>
      </c>
      <c r="H14" s="17"/>
      <c r="I14" s="18"/>
      <c r="J14" s="1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9.0</v>
      </c>
      <c r="B15" s="11" t="s">
        <v>13</v>
      </c>
      <c r="C15" s="11" t="s">
        <v>217</v>
      </c>
      <c r="D15" s="11" t="s">
        <v>233</v>
      </c>
      <c r="E15" s="11">
        <v>1.50903010756006E15</v>
      </c>
      <c r="F15" s="12">
        <v>2026.0</v>
      </c>
      <c r="G15" s="14" t="str">
        <f t="shared" si="1"/>
        <v/>
      </c>
      <c r="H15" s="17"/>
      <c r="I15" s="18"/>
      <c r="J15" s="16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10.0</v>
      </c>
      <c r="B16" s="11" t="s">
        <v>13</v>
      </c>
      <c r="C16" s="11" t="s">
        <v>217</v>
      </c>
      <c r="D16" s="11" t="s">
        <v>234</v>
      </c>
      <c r="E16" s="11" t="s">
        <v>235</v>
      </c>
      <c r="F16" s="12">
        <v>2026.0</v>
      </c>
      <c r="G16" s="14" t="str">
        <f t="shared" si="1"/>
        <v/>
      </c>
      <c r="H16" s="17"/>
      <c r="I16" s="18"/>
      <c r="J16" s="1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11.0</v>
      </c>
      <c r="B17" s="11" t="s">
        <v>13</v>
      </c>
      <c r="C17" s="11" t="s">
        <v>217</v>
      </c>
      <c r="D17" s="11" t="s">
        <v>236</v>
      </c>
      <c r="E17" s="11" t="s">
        <v>237</v>
      </c>
      <c r="F17" s="12">
        <v>2026.0</v>
      </c>
      <c r="G17" s="14" t="str">
        <f t="shared" si="1"/>
        <v/>
      </c>
      <c r="H17" s="17"/>
      <c r="I17" s="18"/>
      <c r="J17" s="16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12.0</v>
      </c>
      <c r="B18" s="11" t="s">
        <v>13</v>
      </c>
      <c r="C18" s="11" t="s">
        <v>217</v>
      </c>
      <c r="D18" s="11" t="s">
        <v>238</v>
      </c>
      <c r="E18" s="11">
        <v>1.50903410779011E15</v>
      </c>
      <c r="F18" s="12">
        <v>2026.0</v>
      </c>
      <c r="G18" s="14" t="str">
        <f t="shared" si="1"/>
        <v/>
      </c>
      <c r="H18" s="17"/>
      <c r="I18" s="18"/>
      <c r="J18" s="16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</sheetData>
  <mergeCells count="4">
    <mergeCell ref="A1:J1"/>
    <mergeCell ref="A2:J2"/>
    <mergeCell ref="A3:J3"/>
    <mergeCell ref="G6:H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21.25"/>
    <col customWidth="1" min="4" max="4" width="23.5"/>
    <col customWidth="1" min="5" max="5" width="22.13"/>
    <col customWidth="1" min="7" max="7" width="3.5"/>
    <col customWidth="1" min="8" max="8" width="6.88"/>
    <col customWidth="1" min="9" max="9" width="3.38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1.0</v>
      </c>
      <c r="B7" s="11" t="s">
        <v>13</v>
      </c>
      <c r="C7" s="11" t="s">
        <v>239</v>
      </c>
      <c r="D7" s="11" t="s">
        <v>240</v>
      </c>
      <c r="E7" s="11" t="s">
        <v>241</v>
      </c>
      <c r="F7" s="12">
        <v>2026.0</v>
      </c>
      <c r="G7" s="14" t="str">
        <f t="shared" ref="G7:G8" si="1">IF(H7&lt;&gt;"","✓","")</f>
        <v/>
      </c>
      <c r="H7" s="17"/>
      <c r="I7" s="18"/>
      <c r="J7" s="1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2.0</v>
      </c>
      <c r="B8" s="11" t="s">
        <v>13</v>
      </c>
      <c r="C8" s="11" t="s">
        <v>239</v>
      </c>
      <c r="D8" s="11" t="s">
        <v>242</v>
      </c>
      <c r="E8" s="11" t="s">
        <v>243</v>
      </c>
      <c r="F8" s="12">
        <v>2026.0</v>
      </c>
      <c r="G8" s="14" t="str">
        <f t="shared" si="1"/>
        <v/>
      </c>
      <c r="H8" s="17"/>
      <c r="I8" s="18"/>
      <c r="J8" s="1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</sheetData>
  <mergeCells count="4">
    <mergeCell ref="A1:J1"/>
    <mergeCell ref="A2:J2"/>
    <mergeCell ref="A3:J3"/>
    <mergeCell ref="G6:H6"/>
  </mergeCells>
  <drawing r:id="rId1"/>
</worksheet>
</file>