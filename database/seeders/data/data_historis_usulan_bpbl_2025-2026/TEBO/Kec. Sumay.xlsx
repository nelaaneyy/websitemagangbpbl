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MBAK BUNGUR" sheetId="1" r:id="rId5"/>
    <sheet state="visible" name="TELUK LANGKAP" sheetId="2" r:id="rId6"/>
    <sheet state="visible" name="TERITI" sheetId="3" r:id="rId7"/>
  </sheets>
  <definedNames/>
  <calcPr/>
</workbook>
</file>

<file path=xl/sharedStrings.xml><?xml version="1.0" encoding="utf-8"?>
<sst xmlns="http://schemas.openxmlformats.org/spreadsheetml/2006/main" count="171" uniqueCount="82">
  <si>
    <t>REKAPITULASI USULAN DAN REALISASI PENERIMAAN BPBL PROVINSI JAMBI</t>
  </si>
  <si>
    <t>MELALUI KEGIATAN PLN (Sumber Dana APBN)</t>
  </si>
  <si>
    <t>TAHUN 2025-2026</t>
  </si>
  <si>
    <t>Kab/Kota</t>
  </si>
  <si>
    <t>: Kabupaten Tebo</t>
  </si>
  <si>
    <t>NO</t>
  </si>
  <si>
    <t>KECAMATAN</t>
  </si>
  <si>
    <t>DESA/KELURAHAN</t>
  </si>
  <si>
    <t>NAMA</t>
  </si>
  <si>
    <t>NIK</t>
  </si>
  <si>
    <t>Usulan</t>
  </si>
  <si>
    <t>Realisasi</t>
  </si>
  <si>
    <t>Keterangan</t>
  </si>
  <si>
    <t>SUMAY</t>
  </si>
  <si>
    <t>TERITI</t>
  </si>
  <si>
    <t>ABDURRAHMAN</t>
  </si>
  <si>
    <t>1509050807020001</t>
  </si>
  <si>
    <t>TELUK LANGKAP</t>
  </si>
  <si>
    <t>BETRIA</t>
  </si>
  <si>
    <t>LEMBAK BUNGUR</t>
  </si>
  <si>
    <t>1509056008860000</t>
  </si>
  <si>
    <t>AHSANUL HOLKI</t>
  </si>
  <si>
    <t>1509052512930000</t>
  </si>
  <si>
    <t>EDI</t>
  </si>
  <si>
    <t>ILYAS</t>
  </si>
  <si>
    <t>1509051307700000</t>
  </si>
  <si>
    <t>1509052104580002</t>
  </si>
  <si>
    <t>HERMAN</t>
  </si>
  <si>
    <t>1509051812810000</t>
  </si>
  <si>
    <t>ALDI HARPAUL</t>
  </si>
  <si>
    <t>1509052103990000</t>
  </si>
  <si>
    <t>IMRAN SALEH</t>
  </si>
  <si>
    <t>1509052408840001</t>
  </si>
  <si>
    <t>MASRUL</t>
  </si>
  <si>
    <t>1509050709940001</t>
  </si>
  <si>
    <t>KARDUL</t>
  </si>
  <si>
    <t>1509010611710001</t>
  </si>
  <si>
    <t>PAISAL</t>
  </si>
  <si>
    <t>1509012506950000</t>
  </si>
  <si>
    <t>ASMIYATI</t>
  </si>
  <si>
    <t>1509055503860000</t>
  </si>
  <si>
    <t>RD. JUNAIDI</t>
  </si>
  <si>
    <t>1505020806770000</t>
  </si>
  <si>
    <t>MARWIYAH</t>
  </si>
  <si>
    <t>1509055003760001</t>
  </si>
  <si>
    <t>DONI AFRIZAL</t>
  </si>
  <si>
    <t>1509011010000000</t>
  </si>
  <si>
    <t>RIDUAN</t>
  </si>
  <si>
    <t>1509050202830000</t>
  </si>
  <si>
    <t>MONALISA</t>
  </si>
  <si>
    <t>1509055108000006</t>
  </si>
  <si>
    <t>SAUKIAH</t>
  </si>
  <si>
    <t>1509056707890000</t>
  </si>
  <si>
    <t>MUHAIMIN</t>
  </si>
  <si>
    <t>3305082511820001</t>
  </si>
  <si>
    <t>HABIBILLAH</t>
  </si>
  <si>
    <t>1509052012930000</t>
  </si>
  <si>
    <t>PATMAH</t>
  </si>
  <si>
    <t>SULAIMAN</t>
  </si>
  <si>
    <t>1509054505750003</t>
  </si>
  <si>
    <t>1509050507870000</t>
  </si>
  <si>
    <t>M. NASIR</t>
  </si>
  <si>
    <t>1509050406730000</t>
  </si>
  <si>
    <t>SALAMA</t>
  </si>
  <si>
    <t>SUBIYANTO</t>
  </si>
  <si>
    <t>3318050207830008</t>
  </si>
  <si>
    <t>MAJDI</t>
  </si>
  <si>
    <t>1509010405800000</t>
  </si>
  <si>
    <t>SUDIONO</t>
  </si>
  <si>
    <t>3318041308830005</t>
  </si>
  <si>
    <t>SUKRI.B</t>
  </si>
  <si>
    <t>1509011003620005</t>
  </si>
  <si>
    <t>WAGIMAN</t>
  </si>
  <si>
    <t>3318030107740066</t>
  </si>
  <si>
    <t>MARHAMAH</t>
  </si>
  <si>
    <t>1509055212860000</t>
  </si>
  <si>
    <t>MESI SUMARNI</t>
  </si>
  <si>
    <t>1509056904980000</t>
  </si>
  <si>
    <t>SITI</t>
  </si>
  <si>
    <t>1509050107560040</t>
  </si>
  <si>
    <t>SUMIYATI</t>
  </si>
  <si>
    <t>1509056304930000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</si>
</sst>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sz val="11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1" fillId="2" fontId="3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2" fontId="1" numFmtId="0" xfId="0" applyAlignment="1" applyBorder="1" applyFill="1" applyFont="1">
      <alignment horizontal="center" vertical="bottom"/>
    </xf>
    <xf borderId="4" fillId="0" fontId="4" numFmtId="0" xfId="0" applyBorder="1" applyFont="1"/>
    <xf borderId="5" fillId="2" fontId="2" numFmtId="0" xfId="0" applyAlignment="1" applyBorder="1" applyFill="1" applyFont="1">
      <alignment vertical="bottom"/>
    </xf>
    <xf borderId="1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shrinkToFit="0" vertical="bottom" wrapText="0"/>
    </xf>
    <xf quotePrefix="1" borderId="1" fillId="0" fontId="3" numFmtId="0" xfId="0" applyAlignment="1" applyBorder="1" applyFont="1">
      <alignment horizontal="center" readingOrder="0" shrinkToFit="0" vertical="bottom" wrapText="0"/>
    </xf>
    <xf borderId="2" fillId="0" fontId="2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quotePrefix="1" borderId="1" fillId="0" fontId="3" numFmtId="0" xfId="0" applyAlignment="1" applyBorder="1" applyFont="1">
      <alignment horizontal="center" readingOrder="0" shrinkToFit="0" vertical="top" wrapText="0"/>
    </xf>
    <xf borderId="1" fillId="0" fontId="3" numFmtId="0" xfId="0" applyAlignment="1" applyBorder="1" applyFont="1">
      <alignment horizontal="center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75"/>
    <col customWidth="1" min="4" max="4" width="21.0"/>
    <col customWidth="1" min="5" max="5" width="23.63"/>
    <col customWidth="1" min="7" max="7" width="5.63"/>
    <col customWidth="1" min="8" max="8" width="8.88"/>
    <col customWidth="1" min="9" max="9" width="5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6" t="s">
        <v>10</v>
      </c>
      <c r="G6" s="7" t="s">
        <v>11</v>
      </c>
      <c r="H6" s="8"/>
      <c r="I6" s="9"/>
      <c r="J6" s="5" t="s">
        <v>12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>
        <v>1.0</v>
      </c>
      <c r="B7" s="10" t="s">
        <v>13</v>
      </c>
      <c r="C7" s="12" t="s">
        <v>19</v>
      </c>
      <c r="D7" s="12" t="s">
        <v>21</v>
      </c>
      <c r="E7" s="13" t="s">
        <v>22</v>
      </c>
      <c r="F7" s="12">
        <v>2026.0</v>
      </c>
      <c r="G7" s="14" t="str">
        <f t="shared" ref="G7:G17" si="1">IF(H7&lt;&gt;"","✓","")</f>
        <v/>
      </c>
      <c r="H7" s="15"/>
      <c r="I7" s="16"/>
      <c r="J7" s="15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>
        <v>2.0</v>
      </c>
      <c r="B8" s="10" t="s">
        <v>13</v>
      </c>
      <c r="C8" s="12" t="s">
        <v>19</v>
      </c>
      <c r="D8" s="12" t="s">
        <v>29</v>
      </c>
      <c r="E8" s="13" t="s">
        <v>30</v>
      </c>
      <c r="F8" s="12">
        <v>2026.0</v>
      </c>
      <c r="G8" s="14" t="str">
        <f t="shared" si="1"/>
        <v/>
      </c>
      <c r="H8" s="15"/>
      <c r="I8" s="16"/>
      <c r="J8" s="15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>
        <v>3.0</v>
      </c>
      <c r="B9" s="10" t="s">
        <v>13</v>
      </c>
      <c r="C9" s="12" t="s">
        <v>19</v>
      </c>
      <c r="D9" s="12" t="s">
        <v>39</v>
      </c>
      <c r="E9" s="13" t="s">
        <v>40</v>
      </c>
      <c r="F9" s="12">
        <v>2026.0</v>
      </c>
      <c r="G9" s="14" t="str">
        <f t="shared" si="1"/>
        <v/>
      </c>
      <c r="H9" s="15"/>
      <c r="I9" s="16"/>
      <c r="J9" s="15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1">
        <v>4.0</v>
      </c>
      <c r="B10" s="10" t="s">
        <v>13</v>
      </c>
      <c r="C10" s="12" t="s">
        <v>19</v>
      </c>
      <c r="D10" s="12" t="s">
        <v>45</v>
      </c>
      <c r="E10" s="13" t="s">
        <v>46</v>
      </c>
      <c r="F10" s="12">
        <v>2026.0</v>
      </c>
      <c r="G10" s="14" t="str">
        <f t="shared" si="1"/>
        <v/>
      </c>
      <c r="H10" s="15"/>
      <c r="I10" s="16"/>
      <c r="J10" s="15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1">
        <v>5.0</v>
      </c>
      <c r="B11" s="10" t="s">
        <v>13</v>
      </c>
      <c r="C11" s="12" t="s">
        <v>19</v>
      </c>
      <c r="D11" s="12" t="s">
        <v>55</v>
      </c>
      <c r="E11" s="13" t="s">
        <v>56</v>
      </c>
      <c r="F11" s="12">
        <v>2026.0</v>
      </c>
      <c r="G11" s="14" t="str">
        <f t="shared" si="1"/>
        <v/>
      </c>
      <c r="H11" s="15"/>
      <c r="I11" s="16"/>
      <c r="J11" s="15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1">
        <v>6.0</v>
      </c>
      <c r="B12" s="10" t="s">
        <v>13</v>
      </c>
      <c r="C12" s="12" t="s">
        <v>19</v>
      </c>
      <c r="D12" s="12" t="s">
        <v>61</v>
      </c>
      <c r="E12" s="13" t="s">
        <v>62</v>
      </c>
      <c r="F12" s="12">
        <v>2026.0</v>
      </c>
      <c r="G12" s="14" t="str">
        <f t="shared" si="1"/>
        <v/>
      </c>
      <c r="H12" s="15"/>
      <c r="I12" s="16"/>
      <c r="J12" s="15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1">
        <v>7.0</v>
      </c>
      <c r="B13" s="10" t="s">
        <v>13</v>
      </c>
      <c r="C13" s="12" t="s">
        <v>19</v>
      </c>
      <c r="D13" s="12" t="s">
        <v>66</v>
      </c>
      <c r="E13" s="17" t="s">
        <v>67</v>
      </c>
      <c r="F13" s="12">
        <v>2026.0</v>
      </c>
      <c r="G13" s="14" t="str">
        <f t="shared" si="1"/>
        <v/>
      </c>
      <c r="H13" s="15"/>
      <c r="I13" s="16"/>
      <c r="J13" s="15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1">
        <v>8.0</v>
      </c>
      <c r="B14" s="10" t="s">
        <v>13</v>
      </c>
      <c r="C14" s="12" t="s">
        <v>19</v>
      </c>
      <c r="D14" s="12" t="s">
        <v>74</v>
      </c>
      <c r="E14" s="13" t="s">
        <v>75</v>
      </c>
      <c r="F14" s="12">
        <v>2026.0</v>
      </c>
      <c r="G14" s="14" t="str">
        <f t="shared" si="1"/>
        <v/>
      </c>
      <c r="H14" s="15"/>
      <c r="I14" s="16"/>
      <c r="J14" s="15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1">
        <v>9.0</v>
      </c>
      <c r="B15" s="10" t="s">
        <v>13</v>
      </c>
      <c r="C15" s="12" t="s">
        <v>19</v>
      </c>
      <c r="D15" s="12" t="s">
        <v>76</v>
      </c>
      <c r="E15" s="13" t="s">
        <v>77</v>
      </c>
      <c r="F15" s="12">
        <v>2026.0</v>
      </c>
      <c r="G15" s="14" t="str">
        <f t="shared" si="1"/>
        <v/>
      </c>
      <c r="H15" s="15"/>
      <c r="I15" s="16"/>
      <c r="J15" s="15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1">
        <v>10.0</v>
      </c>
      <c r="B16" s="10" t="s">
        <v>13</v>
      </c>
      <c r="C16" s="12" t="s">
        <v>19</v>
      </c>
      <c r="D16" s="12" t="s">
        <v>78</v>
      </c>
      <c r="E16" s="13" t="s">
        <v>79</v>
      </c>
      <c r="F16" s="12">
        <v>2026.0</v>
      </c>
      <c r="G16" s="14" t="str">
        <f t="shared" si="1"/>
        <v/>
      </c>
      <c r="H16" s="15"/>
      <c r="I16" s="16"/>
      <c r="J16" s="15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1">
        <v>11.0</v>
      </c>
      <c r="B17" s="10" t="s">
        <v>13</v>
      </c>
      <c r="C17" s="12" t="s">
        <v>19</v>
      </c>
      <c r="D17" s="18" t="s">
        <v>80</v>
      </c>
      <c r="E17" s="13" t="s">
        <v>81</v>
      </c>
      <c r="F17" s="12">
        <v>2026.0</v>
      </c>
      <c r="G17" s="14" t="str">
        <f t="shared" si="1"/>
        <v/>
      </c>
      <c r="H17" s="15"/>
      <c r="I17" s="16"/>
      <c r="J17" s="15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</sheetData>
  <mergeCells count="4">
    <mergeCell ref="A1:J1"/>
    <mergeCell ref="A2:J2"/>
    <mergeCell ref="A3:J3"/>
    <mergeCell ref="G6:H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75"/>
    <col customWidth="1" min="4" max="4" width="21.0"/>
    <col customWidth="1" min="5" max="5" width="23.63"/>
    <col customWidth="1" min="7" max="7" width="5.63"/>
    <col customWidth="1" min="8" max="8" width="8.88"/>
    <col customWidth="1" min="9" max="9" width="5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6" t="s">
        <v>10</v>
      </c>
      <c r="G6" s="7" t="s">
        <v>11</v>
      </c>
      <c r="H6" s="8"/>
      <c r="I6" s="9"/>
      <c r="J6" s="5" t="s">
        <v>12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0">
        <v>1.0</v>
      </c>
      <c r="B7" s="10" t="s">
        <v>13</v>
      </c>
      <c r="C7" s="12" t="s">
        <v>17</v>
      </c>
      <c r="D7" s="12" t="s">
        <v>18</v>
      </c>
      <c r="E7" s="13" t="s">
        <v>20</v>
      </c>
      <c r="F7" s="12">
        <v>2026.0</v>
      </c>
      <c r="G7" s="14" t="str">
        <f t="shared" ref="G7:G15" si="1">IF(H7&lt;&gt;"","✓","")</f>
        <v/>
      </c>
      <c r="H7" s="15"/>
      <c r="I7" s="16"/>
      <c r="J7" s="15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0">
        <v>2.0</v>
      </c>
      <c r="B8" s="10" t="s">
        <v>13</v>
      </c>
      <c r="C8" s="12" t="s">
        <v>17</v>
      </c>
      <c r="D8" s="12" t="s">
        <v>23</v>
      </c>
      <c r="E8" s="13" t="s">
        <v>25</v>
      </c>
      <c r="F8" s="12">
        <v>2026.0</v>
      </c>
      <c r="G8" s="14" t="str">
        <f t="shared" si="1"/>
        <v/>
      </c>
      <c r="H8" s="15"/>
      <c r="I8" s="16"/>
      <c r="J8" s="15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0">
        <v>3.0</v>
      </c>
      <c r="B9" s="10" t="s">
        <v>13</v>
      </c>
      <c r="C9" s="12" t="s">
        <v>17</v>
      </c>
      <c r="D9" s="12" t="s">
        <v>27</v>
      </c>
      <c r="E9" s="13" t="s">
        <v>28</v>
      </c>
      <c r="F9" s="12">
        <v>2026.0</v>
      </c>
      <c r="G9" s="14" t="str">
        <f t="shared" si="1"/>
        <v/>
      </c>
      <c r="H9" s="15"/>
      <c r="I9" s="16"/>
      <c r="J9" s="15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0">
        <v>4.0</v>
      </c>
      <c r="B10" s="10" t="s">
        <v>13</v>
      </c>
      <c r="C10" s="12" t="s">
        <v>17</v>
      </c>
      <c r="D10" s="12" t="s">
        <v>33</v>
      </c>
      <c r="E10" s="13" t="s">
        <v>34</v>
      </c>
      <c r="F10" s="12">
        <v>2026.0</v>
      </c>
      <c r="G10" s="14" t="str">
        <f t="shared" si="1"/>
        <v/>
      </c>
      <c r="H10" s="15"/>
      <c r="I10" s="16"/>
      <c r="J10" s="15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0">
        <v>5.0</v>
      </c>
      <c r="B11" s="10" t="s">
        <v>13</v>
      </c>
      <c r="C11" s="12" t="s">
        <v>17</v>
      </c>
      <c r="D11" s="12" t="s">
        <v>37</v>
      </c>
      <c r="E11" s="13" t="s">
        <v>38</v>
      </c>
      <c r="F11" s="12">
        <v>2026.0</v>
      </c>
      <c r="G11" s="14" t="str">
        <f t="shared" si="1"/>
        <v/>
      </c>
      <c r="H11" s="15"/>
      <c r="I11" s="16"/>
      <c r="J11" s="15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0">
        <v>6.0</v>
      </c>
      <c r="B12" s="10" t="s">
        <v>13</v>
      </c>
      <c r="C12" s="12" t="s">
        <v>17</v>
      </c>
      <c r="D12" s="12" t="s">
        <v>41</v>
      </c>
      <c r="E12" s="13" t="s">
        <v>42</v>
      </c>
      <c r="F12" s="12">
        <v>2026.0</v>
      </c>
      <c r="G12" s="14" t="str">
        <f t="shared" si="1"/>
        <v/>
      </c>
      <c r="H12" s="15"/>
      <c r="I12" s="16"/>
      <c r="J12" s="15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0">
        <v>7.0</v>
      </c>
      <c r="B13" s="10" t="s">
        <v>13</v>
      </c>
      <c r="C13" s="12" t="s">
        <v>17</v>
      </c>
      <c r="D13" s="12" t="s">
        <v>47</v>
      </c>
      <c r="E13" s="13" t="s">
        <v>48</v>
      </c>
      <c r="F13" s="12">
        <v>2026.0</v>
      </c>
      <c r="G13" s="14" t="str">
        <f t="shared" si="1"/>
        <v/>
      </c>
      <c r="H13" s="15"/>
      <c r="I13" s="16"/>
      <c r="J13" s="15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0">
        <v>8.0</v>
      </c>
      <c r="B14" s="10" t="s">
        <v>13</v>
      </c>
      <c r="C14" s="12" t="s">
        <v>17</v>
      </c>
      <c r="D14" s="12" t="s">
        <v>51</v>
      </c>
      <c r="E14" s="13" t="s">
        <v>52</v>
      </c>
      <c r="F14" s="12">
        <v>2026.0</v>
      </c>
      <c r="G14" s="14" t="str">
        <f t="shared" si="1"/>
        <v/>
      </c>
      <c r="H14" s="15"/>
      <c r="I14" s="16"/>
      <c r="J14" s="15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0">
        <v>9.0</v>
      </c>
      <c r="B15" s="10" t="s">
        <v>13</v>
      </c>
      <c r="C15" s="12" t="s">
        <v>17</v>
      </c>
      <c r="D15" s="12" t="s">
        <v>58</v>
      </c>
      <c r="E15" s="13" t="s">
        <v>60</v>
      </c>
      <c r="F15" s="12">
        <v>2026.0</v>
      </c>
      <c r="G15" s="14" t="str">
        <f t="shared" si="1"/>
        <v/>
      </c>
      <c r="H15" s="15"/>
      <c r="I15" s="16"/>
      <c r="J15" s="15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</sheetData>
  <mergeCells count="4">
    <mergeCell ref="A1:J1"/>
    <mergeCell ref="A2:J2"/>
    <mergeCell ref="A3:J3"/>
    <mergeCell ref="G6:H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75"/>
    <col customWidth="1" min="4" max="4" width="19.75"/>
    <col customWidth="1" min="5" max="5" width="20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6" t="s">
        <v>10</v>
      </c>
      <c r="G6" s="7" t="s">
        <v>11</v>
      </c>
      <c r="H6" s="8"/>
      <c r="I6" s="9"/>
      <c r="J6" s="5" t="s">
        <v>12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0">
        <v>1.0</v>
      </c>
      <c r="B7" s="11" t="s">
        <v>13</v>
      </c>
      <c r="C7" s="11" t="s">
        <v>14</v>
      </c>
      <c r="D7" s="11" t="s">
        <v>15</v>
      </c>
      <c r="E7" s="11" t="s">
        <v>16</v>
      </c>
      <c r="F7" s="11">
        <v>2026.0</v>
      </c>
      <c r="G7" s="14" t="str">
        <f t="shared" ref="G7:G19" si="1">IF(H7&lt;&gt;"","✓","")</f>
        <v/>
      </c>
      <c r="H7" s="15"/>
      <c r="I7" s="16"/>
      <c r="J7" s="15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0">
        <v>2.0</v>
      </c>
      <c r="B8" s="11" t="s">
        <v>13</v>
      </c>
      <c r="C8" s="11" t="s">
        <v>14</v>
      </c>
      <c r="D8" s="11" t="s">
        <v>24</v>
      </c>
      <c r="E8" s="11" t="s">
        <v>26</v>
      </c>
      <c r="F8" s="11">
        <v>2026.0</v>
      </c>
      <c r="G8" s="14" t="str">
        <f t="shared" si="1"/>
        <v/>
      </c>
      <c r="H8" s="15"/>
      <c r="I8" s="16"/>
      <c r="J8" s="15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0">
        <v>3.0</v>
      </c>
      <c r="B9" s="11" t="s">
        <v>13</v>
      </c>
      <c r="C9" s="11" t="s">
        <v>14</v>
      </c>
      <c r="D9" s="11" t="s">
        <v>31</v>
      </c>
      <c r="E9" s="11" t="s">
        <v>32</v>
      </c>
      <c r="F9" s="11">
        <v>2026.0</v>
      </c>
      <c r="G9" s="14" t="str">
        <f t="shared" si="1"/>
        <v/>
      </c>
      <c r="H9" s="15"/>
      <c r="I9" s="16"/>
      <c r="J9" s="15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0">
        <v>4.0</v>
      </c>
      <c r="B10" s="11" t="s">
        <v>13</v>
      </c>
      <c r="C10" s="11" t="s">
        <v>14</v>
      </c>
      <c r="D10" s="11" t="s">
        <v>35</v>
      </c>
      <c r="E10" s="11" t="s">
        <v>36</v>
      </c>
      <c r="F10" s="11">
        <v>2026.0</v>
      </c>
      <c r="G10" s="14" t="str">
        <f t="shared" si="1"/>
        <v/>
      </c>
      <c r="H10" s="15"/>
      <c r="I10" s="16"/>
      <c r="J10" s="15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0">
        <v>5.0</v>
      </c>
      <c r="B11" s="11" t="s">
        <v>13</v>
      </c>
      <c r="C11" s="11" t="s">
        <v>14</v>
      </c>
      <c r="D11" s="11" t="s">
        <v>43</v>
      </c>
      <c r="E11" s="11" t="s">
        <v>44</v>
      </c>
      <c r="F11" s="11">
        <v>2026.0</v>
      </c>
      <c r="G11" s="14" t="str">
        <f t="shared" si="1"/>
        <v/>
      </c>
      <c r="H11" s="15"/>
      <c r="I11" s="16"/>
      <c r="J11" s="15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0">
        <v>6.0</v>
      </c>
      <c r="B12" s="11" t="s">
        <v>13</v>
      </c>
      <c r="C12" s="11" t="s">
        <v>14</v>
      </c>
      <c r="D12" s="11" t="s">
        <v>49</v>
      </c>
      <c r="E12" s="11" t="s">
        <v>50</v>
      </c>
      <c r="F12" s="11">
        <v>2026.0</v>
      </c>
      <c r="G12" s="14" t="str">
        <f t="shared" si="1"/>
        <v/>
      </c>
      <c r="H12" s="15"/>
      <c r="I12" s="16"/>
      <c r="J12" s="15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0">
        <v>7.0</v>
      </c>
      <c r="B13" s="11" t="s">
        <v>13</v>
      </c>
      <c r="C13" s="11" t="s">
        <v>14</v>
      </c>
      <c r="D13" s="11" t="s">
        <v>53</v>
      </c>
      <c r="E13" s="11" t="s">
        <v>54</v>
      </c>
      <c r="F13" s="11">
        <v>2026.0</v>
      </c>
      <c r="G13" s="14" t="str">
        <f t="shared" si="1"/>
        <v/>
      </c>
      <c r="H13" s="15"/>
      <c r="I13" s="16"/>
      <c r="J13" s="15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0">
        <v>8.0</v>
      </c>
      <c r="B14" s="11" t="s">
        <v>13</v>
      </c>
      <c r="C14" s="11" t="s">
        <v>14</v>
      </c>
      <c r="D14" s="11" t="s">
        <v>57</v>
      </c>
      <c r="E14" s="11" t="s">
        <v>59</v>
      </c>
      <c r="F14" s="11">
        <v>2026.0</v>
      </c>
      <c r="G14" s="14" t="str">
        <f t="shared" si="1"/>
        <v/>
      </c>
      <c r="H14" s="15"/>
      <c r="I14" s="16"/>
      <c r="J14" s="15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0">
        <v>9.0</v>
      </c>
      <c r="B15" s="11" t="s">
        <v>13</v>
      </c>
      <c r="C15" s="11" t="s">
        <v>14</v>
      </c>
      <c r="D15" s="11" t="s">
        <v>63</v>
      </c>
      <c r="E15" s="11" t="s">
        <v>44</v>
      </c>
      <c r="F15" s="11">
        <v>2026.0</v>
      </c>
      <c r="G15" s="14" t="str">
        <f t="shared" si="1"/>
        <v/>
      </c>
      <c r="H15" s="15"/>
      <c r="I15" s="16"/>
      <c r="J15" s="15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0">
        <v>10.0</v>
      </c>
      <c r="B16" s="11" t="s">
        <v>13</v>
      </c>
      <c r="C16" s="11" t="s">
        <v>14</v>
      </c>
      <c r="D16" s="11" t="s">
        <v>64</v>
      </c>
      <c r="E16" s="11" t="s">
        <v>65</v>
      </c>
      <c r="F16" s="11">
        <v>2026.0</v>
      </c>
      <c r="G16" s="14" t="str">
        <f t="shared" si="1"/>
        <v/>
      </c>
      <c r="H16" s="15"/>
      <c r="I16" s="16"/>
      <c r="J16" s="15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0">
        <v>11.0</v>
      </c>
      <c r="B17" s="11" t="s">
        <v>13</v>
      </c>
      <c r="C17" s="11" t="s">
        <v>14</v>
      </c>
      <c r="D17" s="11" t="s">
        <v>68</v>
      </c>
      <c r="E17" s="11" t="s">
        <v>69</v>
      </c>
      <c r="F17" s="11">
        <v>2026.0</v>
      </c>
      <c r="G17" s="14" t="str">
        <f t="shared" si="1"/>
        <v/>
      </c>
      <c r="H17" s="15"/>
      <c r="I17" s="16"/>
      <c r="J17" s="15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0">
        <v>12.0</v>
      </c>
      <c r="B18" s="11" t="s">
        <v>13</v>
      </c>
      <c r="C18" s="11" t="s">
        <v>14</v>
      </c>
      <c r="D18" s="11" t="s">
        <v>70</v>
      </c>
      <c r="E18" s="11" t="s">
        <v>71</v>
      </c>
      <c r="F18" s="11">
        <v>2026.0</v>
      </c>
      <c r="G18" s="14" t="str">
        <f t="shared" si="1"/>
        <v/>
      </c>
      <c r="H18" s="15"/>
      <c r="I18" s="16"/>
      <c r="J18" s="15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0">
        <v>13.0</v>
      </c>
      <c r="B19" s="11" t="s">
        <v>13</v>
      </c>
      <c r="C19" s="11" t="s">
        <v>14</v>
      </c>
      <c r="D19" s="11" t="s">
        <v>72</v>
      </c>
      <c r="E19" s="11" t="s">
        <v>73</v>
      </c>
      <c r="F19" s="11">
        <v>2026.0</v>
      </c>
      <c r="G19" s="14" t="str">
        <f t="shared" si="1"/>
        <v/>
      </c>
      <c r="H19" s="15"/>
      <c r="I19" s="16"/>
      <c r="J19" s="15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</sheetData>
  <mergeCells count="4">
    <mergeCell ref="A1:J1"/>
    <mergeCell ref="A2:J2"/>
    <mergeCell ref="A3:J3"/>
    <mergeCell ref="G6:H6"/>
  </mergeCells>
  <drawing r:id="rId1"/>
</worksheet>
</file>